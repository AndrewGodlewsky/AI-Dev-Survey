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44003cced450eb8a/Desktop/Claude/AI-Dev-Survey/scoring/"/>
    </mc:Choice>
  </mc:AlternateContent>
  <xr:revisionPtr revIDLastSave="0" documentId="11_557F929438D6BD670AA1AFBC48380344C0F6DE27" xr6:coauthVersionLast="47" xr6:coauthVersionMax="47" xr10:uidLastSave="{00000000-0000-0000-0000-000000000000}"/>
  <bookViews>
    <workbookView xWindow="-98" yWindow="-98" windowWidth="24196" windowHeight="14476" xr2:uid="{00000000-000D-0000-FFFF-FFFF00000000}"/>
  </bookViews>
  <sheets>
    <sheet name="ReadMe" sheetId="1" r:id="rId1"/>
    <sheet name="Config" sheetId="2" r:id="rId2"/>
    <sheet name="Responses" sheetId="3" r:id="rId3"/>
    <sheet name="Items" sheetId="4" r:id="rId4"/>
    <sheet name="Values" sheetId="5" r:id="rId5"/>
    <sheet name="Pattern" sheetId="6" r:id="rId6"/>
    <sheet name="Export" sheetId="7" r:id="rId7"/>
    <sheet name="Team" sheetId="8" r:id="rId8"/>
  </sheets>
  <definedNames>
    <definedName name="flat_modal_share">Config!$B$5</definedName>
    <definedName name="flat_reverse_slack">Config!$B$4</definedName>
    <definedName name="roster_n">Config!$B$2</definedName>
    <definedName name="schema_version">Config!$B$3</definedName>
    <definedName name="stance_identical_min">Config!$B$6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 i="7" l="1"/>
  <c r="C9" i="7"/>
  <c r="A9" i="7"/>
  <c r="D8" i="7"/>
  <c r="C8" i="7"/>
  <c r="A8" i="7"/>
  <c r="CT7" i="7"/>
  <c r="D7" i="7"/>
  <c r="C7" i="7"/>
  <c r="A7" i="7"/>
  <c r="IK6" i="7"/>
  <c r="D6" i="7"/>
  <c r="C6" i="7"/>
  <c r="A6" i="7"/>
  <c r="D5" i="7"/>
  <c r="C5" i="7"/>
  <c r="A5" i="7"/>
  <c r="D4" i="7"/>
  <c r="C4" i="7"/>
  <c r="B4" i="7"/>
  <c r="A4" i="7"/>
  <c r="KG3" i="7"/>
  <c r="D3" i="7"/>
  <c r="C3" i="7"/>
  <c r="A3" i="7"/>
  <c r="D2" i="7"/>
  <c r="C2" i="7"/>
  <c r="A2" i="7"/>
  <c r="A8" i="6"/>
  <c r="A6" i="6"/>
  <c r="FF14" i="5"/>
  <c r="FJ9" i="7" s="1"/>
  <c r="EJ14" i="5"/>
  <c r="BV9" i="7" s="1"/>
  <c r="EI14" i="5"/>
  <c r="BS9" i="7" s="1"/>
  <c r="EC14" i="5"/>
  <c r="BA9" i="7" s="1"/>
  <c r="DU14" i="5"/>
  <c r="CG9" i="7" s="1"/>
  <c r="DS14" i="5"/>
  <c r="CA9" i="7" s="1"/>
  <c r="DR14" i="5"/>
  <c r="BX9" i="7" s="1"/>
  <c r="CR14" i="5"/>
  <c r="BB9" i="7" s="1"/>
  <c r="BV14" i="5"/>
  <c r="JO9" i="7" s="1"/>
  <c r="AZ14" i="5"/>
  <c r="JV9" i="7" s="1"/>
  <c r="AD14" i="5"/>
  <c r="HV9" i="7" s="1"/>
  <c r="AB14" i="5"/>
  <c r="HK9" i="7" s="1"/>
  <c r="P14" i="5"/>
  <c r="HX9" i="7" s="1"/>
  <c r="O14" i="5"/>
  <c r="HQ9" i="7" s="1"/>
  <c r="N14" i="5"/>
  <c r="HH9" i="7" s="1"/>
  <c r="M14" i="5"/>
  <c r="HJ9" i="7" s="1"/>
  <c r="H14" i="5"/>
  <c r="F14" i="5"/>
  <c r="I9" i="7" s="1"/>
  <c r="C14" i="5"/>
  <c r="F9" i="7" s="1"/>
  <c r="A14" i="5"/>
  <c r="FF13" i="5"/>
  <c r="FJ8" i="7" s="1"/>
  <c r="EJ13" i="5"/>
  <c r="BV8" i="7" s="1"/>
  <c r="DV13" i="5"/>
  <c r="CJ8" i="7" s="1"/>
  <c r="DS13" i="5"/>
  <c r="CA8" i="7" s="1"/>
  <c r="DN13" i="5"/>
  <c r="BL8" i="7" s="1"/>
  <c r="DM13" i="5"/>
  <c r="BI8" i="7" s="1"/>
  <c r="BV13" i="5"/>
  <c r="JO8" i="7" s="1"/>
  <c r="BH13" i="5"/>
  <c r="JJ8" i="7" s="1"/>
  <c r="AT13" i="5"/>
  <c r="JT8" i="7" s="1"/>
  <c r="AO13" i="5"/>
  <c r="IB8" i="7" s="1"/>
  <c r="AM13" i="5"/>
  <c r="AL13" i="5"/>
  <c r="AD13" i="5"/>
  <c r="HV8" i="7" s="1"/>
  <c r="H13" i="5"/>
  <c r="G13" i="5"/>
  <c r="A13" i="5"/>
  <c r="B8" i="7" s="1"/>
  <c r="FQ12" i="5"/>
  <c r="FV7" i="7" s="1"/>
  <c r="FK12" i="5"/>
  <c r="FE7" i="7" s="1"/>
  <c r="FJ12" i="5"/>
  <c r="FB7" i="7" s="1"/>
  <c r="FF12" i="5"/>
  <c r="FJ7" i="7" s="1"/>
  <c r="EJ12" i="5"/>
  <c r="BV7" i="7" s="1"/>
  <c r="DN12" i="5"/>
  <c r="BL7" i="7" s="1"/>
  <c r="DK12" i="5"/>
  <c r="BC7" i="7" s="1"/>
  <c r="DI12" i="5"/>
  <c r="AW7" i="7" s="1"/>
  <c r="DG12" i="5"/>
  <c r="CU7" i="7" s="1"/>
  <c r="DF12" i="5"/>
  <c r="CR7" i="7" s="1"/>
  <c r="DE12" i="5"/>
  <c r="CO7" i="7" s="1"/>
  <c r="CX12" i="5"/>
  <c r="BT7" i="7" s="1"/>
  <c r="BV12" i="5"/>
  <c r="JO7" i="7" s="1"/>
  <c r="AZ12" i="5"/>
  <c r="JV7" i="7" s="1"/>
  <c r="AM12" i="5"/>
  <c r="IL7" i="7" s="1"/>
  <c r="AK12" i="5"/>
  <c r="AJ12" i="5"/>
  <c r="E12" i="5"/>
  <c r="H7" i="7" s="1"/>
  <c r="A12" i="5"/>
  <c r="EY11" i="5"/>
  <c r="FI6" i="7" s="1"/>
  <c r="EX11" i="5"/>
  <c r="FF6" i="7" s="1"/>
  <c r="ES11" i="5"/>
  <c r="CW6" i="7" s="1"/>
  <c r="EO11" i="5"/>
  <c r="CK6" i="7" s="1"/>
  <c r="EN11" i="5"/>
  <c r="CH6" i="7" s="1"/>
  <c r="CK11" i="5"/>
  <c r="CJ11" i="5"/>
  <c r="IQ6" i="7" s="1"/>
  <c r="CD11" i="5"/>
  <c r="JW6" i="7" s="1"/>
  <c r="CB11" i="5"/>
  <c r="IW6" i="7" s="1"/>
  <c r="CA11" i="5"/>
  <c r="JG6" i="7" s="1"/>
  <c r="BZ11" i="5"/>
  <c r="IO6" i="7" s="1"/>
  <c r="BI11" i="5"/>
  <c r="IZ6" i="7" s="1"/>
  <c r="A11" i="5"/>
  <c r="B6" i="7" s="1"/>
  <c r="FO10" i="5"/>
  <c r="FN10" i="5"/>
  <c r="FN5" i="7" s="1"/>
  <c r="FM10" i="5"/>
  <c r="FK5" i="7" s="1"/>
  <c r="FL10" i="5"/>
  <c r="FH5" i="7" s="1"/>
  <c r="FE10" i="5"/>
  <c r="FG5" i="7" s="1"/>
  <c r="EC10" i="5"/>
  <c r="BA5" i="7" s="1"/>
  <c r="DM10" i="5"/>
  <c r="BI5" i="7" s="1"/>
  <c r="DA10" i="5"/>
  <c r="CC5" i="7" s="1"/>
  <c r="CZ10" i="5"/>
  <c r="BZ5" i="7" s="1"/>
  <c r="CQ10" i="5"/>
  <c r="AY5" i="7" s="1"/>
  <c r="CO10" i="5"/>
  <c r="AS5" i="7" s="1"/>
  <c r="CK10" i="5"/>
  <c r="AC10" i="5"/>
  <c r="HA5" i="7" s="1"/>
  <c r="W10" i="5"/>
  <c r="HN5" i="7" s="1"/>
  <c r="V10" i="5"/>
  <c r="HY5" i="7" s="1"/>
  <c r="Q10" i="5"/>
  <c r="HL5" i="7" s="1"/>
  <c r="A10" i="5"/>
  <c r="B5" i="7" s="1"/>
  <c r="FS9" i="5"/>
  <c r="FX4" i="7" s="1"/>
  <c r="FQ9" i="5"/>
  <c r="FV4" i="7" s="1"/>
  <c r="FF9" i="5"/>
  <c r="FJ4" i="7" s="1"/>
  <c r="ES9" i="5"/>
  <c r="CW4" i="7" s="1"/>
  <c r="ER9" i="5"/>
  <c r="CT4" i="7" s="1"/>
  <c r="EQ9" i="5"/>
  <c r="CQ4" i="7" s="1"/>
  <c r="EJ9" i="5"/>
  <c r="BV4" i="7" s="1"/>
  <c r="EE9" i="5"/>
  <c r="BG4" i="7" s="1"/>
  <c r="EC9" i="5"/>
  <c r="BA4" i="7" s="1"/>
  <c r="DD9" i="5"/>
  <c r="CL4" i="7" s="1"/>
  <c r="CR9" i="5"/>
  <c r="BB4" i="7" s="1"/>
  <c r="CD9" i="5"/>
  <c r="JW4" i="7" s="1"/>
  <c r="CC9" i="5"/>
  <c r="JQ4" i="7" s="1"/>
  <c r="CB9" i="5"/>
  <c r="IW4" i="7" s="1"/>
  <c r="CA9" i="5"/>
  <c r="JG4" i="7" s="1"/>
  <c r="BZ9" i="5"/>
  <c r="IO4" i="7" s="1"/>
  <c r="BO9" i="5"/>
  <c r="AZ9" i="5"/>
  <c r="JV4" i="7" s="1"/>
  <c r="AS9" i="5"/>
  <c r="IH4" i="7" s="1"/>
  <c r="AR9" i="5"/>
  <c r="JN4" i="7" s="1"/>
  <c r="AM9" i="5"/>
  <c r="AD9" i="5"/>
  <c r="HV4" i="7" s="1"/>
  <c r="AB9" i="5"/>
  <c r="HK4" i="7" s="1"/>
  <c r="Z9" i="5"/>
  <c r="Q9" i="5"/>
  <c r="HL4" i="7" s="1"/>
  <c r="P9" i="5"/>
  <c r="HX4" i="7" s="1"/>
  <c r="H9" i="5"/>
  <c r="A9" i="5"/>
  <c r="A4" i="6" s="1"/>
  <c r="FU8" i="5"/>
  <c r="FZ3" i="7" s="1"/>
  <c r="EY8" i="5"/>
  <c r="FI3" i="7" s="1"/>
  <c r="DW8" i="5"/>
  <c r="CM3" i="7" s="1"/>
  <c r="DV8" i="5"/>
  <c r="CJ3" i="7" s="1"/>
  <c r="DU8" i="5"/>
  <c r="CG3" i="7" s="1"/>
  <c r="DT8" i="5"/>
  <c r="CD3" i="7" s="1"/>
  <c r="CK8" i="5"/>
  <c r="ES3" i="7" s="1"/>
  <c r="BS8" i="5"/>
  <c r="IC3" i="7" s="1"/>
  <c r="BI8" i="5"/>
  <c r="IZ3" i="7" s="1"/>
  <c r="BH8" i="5"/>
  <c r="JJ3" i="7" s="1"/>
  <c r="BG8" i="5"/>
  <c r="BF8" i="5"/>
  <c r="IP3" i="7" s="1"/>
  <c r="BE8" i="5"/>
  <c r="IX3" i="7" s="1"/>
  <c r="BD8" i="5"/>
  <c r="JH3" i="7" s="1"/>
  <c r="AW8" i="5"/>
  <c r="JF3" i="7" s="1"/>
  <c r="W8" i="5"/>
  <c r="HN3" i="7" s="1"/>
  <c r="U8" i="5"/>
  <c r="HS3" i="7" s="1"/>
  <c r="A8" i="5"/>
  <c r="FN7" i="5"/>
  <c r="FN2" i="7" s="1"/>
  <c r="FM7" i="5"/>
  <c r="FK2" i="7" s="1"/>
  <c r="FL7" i="5"/>
  <c r="FH2" i="7" s="1"/>
  <c r="FK7" i="5"/>
  <c r="FE2" i="7" s="1"/>
  <c r="FH7" i="5"/>
  <c r="EV2" i="7" s="1"/>
  <c r="EJ7" i="5"/>
  <c r="BV2" i="7" s="1"/>
  <c r="EF7" i="5"/>
  <c r="BJ2" i="7" s="1"/>
  <c r="EC7" i="5"/>
  <c r="BA2" i="7" s="1"/>
  <c r="EB7" i="5"/>
  <c r="AX2" i="7" s="1"/>
  <c r="DA7" i="5"/>
  <c r="CC2" i="7" s="1"/>
  <c r="CZ7" i="5"/>
  <c r="BZ2" i="7" s="1"/>
  <c r="CY7" i="5"/>
  <c r="BW2" i="7" s="1"/>
  <c r="CX7" i="5"/>
  <c r="BT2" i="7" s="1"/>
  <c r="CW7" i="5"/>
  <c r="BQ2" i="7" s="1"/>
  <c r="BV7" i="5"/>
  <c r="JO2" i="7" s="1"/>
  <c r="AZ7" i="5"/>
  <c r="JV2" i="7" s="1"/>
  <c r="AL7" i="5"/>
  <c r="AJ7" i="5"/>
  <c r="AI7" i="5"/>
  <c r="JB2" i="7" s="1"/>
  <c r="AD7" i="5"/>
  <c r="HV2" i="7" s="1"/>
  <c r="AB7" i="5"/>
  <c r="HK2" i="7" s="1"/>
  <c r="A7" i="5"/>
  <c r="FU6" i="5"/>
  <c r="FU14" i="5" s="1"/>
  <c r="FZ9" i="7" s="1"/>
  <c r="FT6" i="5"/>
  <c r="FT13" i="5" s="1"/>
  <c r="FY8" i="7" s="1"/>
  <c r="GE8" i="7" s="1"/>
  <c r="FS6" i="5"/>
  <c r="FS8" i="5" s="1"/>
  <c r="FX3" i="7" s="1"/>
  <c r="FR6" i="5"/>
  <c r="FR14" i="5" s="1"/>
  <c r="FW9" i="7" s="1"/>
  <c r="FQ6" i="5"/>
  <c r="FQ14" i="5" s="1"/>
  <c r="FV9" i="7" s="1"/>
  <c r="FP6" i="5"/>
  <c r="FO6" i="5"/>
  <c r="FO8" i="5" s="1"/>
  <c r="FN6" i="5"/>
  <c r="FN8" i="5" s="1"/>
  <c r="FN3" i="7" s="1"/>
  <c r="FM6" i="5"/>
  <c r="FM8" i="5" s="1"/>
  <c r="FK3" i="7" s="1"/>
  <c r="FL6" i="5"/>
  <c r="FL11" i="5" s="1"/>
  <c r="FH6" i="7" s="1"/>
  <c r="FK6" i="5"/>
  <c r="FK10" i="5" s="1"/>
  <c r="FE5" i="7" s="1"/>
  <c r="FJ6" i="5"/>
  <c r="FJ7" i="5" s="1"/>
  <c r="FB2" i="7" s="1"/>
  <c r="FI6" i="5"/>
  <c r="FI10" i="5" s="1"/>
  <c r="EY5" i="7" s="1"/>
  <c r="FH6" i="5"/>
  <c r="FH9" i="5" s="1"/>
  <c r="EV4" i="7" s="1"/>
  <c r="FG6" i="5"/>
  <c r="FF6" i="5"/>
  <c r="FF11" i="5" s="1"/>
  <c r="FJ6" i="7" s="1"/>
  <c r="FE6" i="5"/>
  <c r="FD6" i="5"/>
  <c r="FC6" i="5"/>
  <c r="FC12" i="5" s="1"/>
  <c r="FA7" i="7" s="1"/>
  <c r="FB6" i="5"/>
  <c r="FA6" i="5"/>
  <c r="EZ6" i="5"/>
  <c r="EZ7" i="5" s="1"/>
  <c r="FL2" i="7" s="1"/>
  <c r="EY6" i="5"/>
  <c r="EY12" i="5" s="1"/>
  <c r="FI7" i="7" s="1"/>
  <c r="EX6" i="5"/>
  <c r="EX12" i="5" s="1"/>
  <c r="FF7" i="7" s="1"/>
  <c r="EW6" i="5"/>
  <c r="EW8" i="5" s="1"/>
  <c r="FC3" i="7" s="1"/>
  <c r="EV6" i="5"/>
  <c r="EV12" i="5" s="1"/>
  <c r="EZ7" i="7" s="1"/>
  <c r="EU6" i="5"/>
  <c r="EU8" i="5" s="1"/>
  <c r="EW3" i="7" s="1"/>
  <c r="ET6" i="5"/>
  <c r="ET14" i="5" s="1"/>
  <c r="ET9" i="7" s="1"/>
  <c r="ES6" i="5"/>
  <c r="ES13" i="5" s="1"/>
  <c r="CW8" i="7" s="1"/>
  <c r="ER6" i="5"/>
  <c r="ER12" i="5" s="1"/>
  <c r="EQ6" i="5"/>
  <c r="EQ7" i="5" s="1"/>
  <c r="CQ2" i="7" s="1"/>
  <c r="EP6" i="5"/>
  <c r="EP10" i="5" s="1"/>
  <c r="CN5" i="7" s="1"/>
  <c r="EC5" i="7" s="1"/>
  <c r="EO6" i="5"/>
  <c r="EO14" i="5" s="1"/>
  <c r="CK9" i="7" s="1"/>
  <c r="EN6" i="5"/>
  <c r="EN7" i="5" s="1"/>
  <c r="CH2" i="7" s="1"/>
  <c r="EM6" i="5"/>
  <c r="EM13" i="5" s="1"/>
  <c r="CE8" i="7" s="1"/>
  <c r="EL6" i="5"/>
  <c r="EL14" i="5" s="1"/>
  <c r="CB9" i="7" s="1"/>
  <c r="DU9" i="7" s="1"/>
  <c r="EK6" i="5"/>
  <c r="EK12" i="5" s="1"/>
  <c r="BY7" i="7" s="1"/>
  <c r="EJ6" i="5"/>
  <c r="EI6" i="5"/>
  <c r="EH6" i="5"/>
  <c r="EH14" i="5" s="1"/>
  <c r="BP9" i="7" s="1"/>
  <c r="EG6" i="5"/>
  <c r="EF6" i="5"/>
  <c r="EF9" i="5" s="1"/>
  <c r="BJ4" i="7" s="1"/>
  <c r="EE6" i="5"/>
  <c r="EE14" i="5" s="1"/>
  <c r="BG9" i="7" s="1"/>
  <c r="ED6" i="5"/>
  <c r="ED10" i="5" s="1"/>
  <c r="BD5" i="7" s="1"/>
  <c r="EC6" i="5"/>
  <c r="EB6" i="5"/>
  <c r="EB9" i="5" s="1"/>
  <c r="AX4" i="7" s="1"/>
  <c r="EA6" i="5"/>
  <c r="EA9" i="5" s="1"/>
  <c r="AU4" i="7" s="1"/>
  <c r="DZ6" i="5"/>
  <c r="DZ9" i="5" s="1"/>
  <c r="CV4" i="7" s="1"/>
  <c r="DY6" i="5"/>
  <c r="DY7" i="5" s="1"/>
  <c r="CS2" i="7" s="1"/>
  <c r="DX6" i="5"/>
  <c r="DX9" i="5" s="1"/>
  <c r="CP4" i="7" s="1"/>
  <c r="DW6" i="5"/>
  <c r="DW10" i="5" s="1"/>
  <c r="CM5" i="7" s="1"/>
  <c r="DV6" i="5"/>
  <c r="DV10" i="5" s="1"/>
  <c r="CJ5" i="7" s="1"/>
  <c r="DU6" i="5"/>
  <c r="DU12" i="5" s="1"/>
  <c r="CG7" i="7" s="1"/>
  <c r="DT6" i="5"/>
  <c r="DT9" i="5" s="1"/>
  <c r="CD4" i="7" s="1"/>
  <c r="DS6" i="5"/>
  <c r="DS8" i="5" s="1"/>
  <c r="CA3" i="7" s="1"/>
  <c r="DR6" i="5"/>
  <c r="DR7" i="5" s="1"/>
  <c r="BX2" i="7" s="1"/>
  <c r="DQ6" i="5"/>
  <c r="DQ14" i="5" s="1"/>
  <c r="BU9" i="7" s="1"/>
  <c r="DP6" i="5"/>
  <c r="DP13" i="5" s="1"/>
  <c r="BR8" i="7" s="1"/>
  <c r="DO6" i="5"/>
  <c r="DO8" i="5" s="1"/>
  <c r="BO3" i="7" s="1"/>
  <c r="DN6" i="5"/>
  <c r="DM6" i="5"/>
  <c r="DM8" i="5" s="1"/>
  <c r="BI3" i="7" s="1"/>
  <c r="DL6" i="5"/>
  <c r="DK6" i="5"/>
  <c r="DJ6" i="5"/>
  <c r="DI6" i="5"/>
  <c r="DH6" i="5"/>
  <c r="DG6" i="5"/>
  <c r="DG14" i="5" s="1"/>
  <c r="CU9" i="7" s="1"/>
  <c r="DF6" i="5"/>
  <c r="DF8" i="5" s="1"/>
  <c r="CR3" i="7" s="1"/>
  <c r="DE6" i="5"/>
  <c r="DE8" i="5" s="1"/>
  <c r="CO3" i="7" s="1"/>
  <c r="DD6" i="5"/>
  <c r="DD14" i="5" s="1"/>
  <c r="CL9" i="7" s="1"/>
  <c r="DC6" i="5"/>
  <c r="DC14" i="5" s="1"/>
  <c r="CI9" i="7" s="1"/>
  <c r="DB6" i="5"/>
  <c r="DB14" i="5" s="1"/>
  <c r="CF9" i="7" s="1"/>
  <c r="DA6" i="5"/>
  <c r="DA13" i="5" s="1"/>
  <c r="CC8" i="7" s="1"/>
  <c r="CZ6" i="5"/>
  <c r="CZ12" i="5" s="1"/>
  <c r="BZ7" i="7" s="1"/>
  <c r="CY6" i="5"/>
  <c r="CY10" i="5" s="1"/>
  <c r="BW5" i="7" s="1"/>
  <c r="CX6" i="5"/>
  <c r="CX11" i="5" s="1"/>
  <c r="BT6" i="7" s="1"/>
  <c r="CW6" i="5"/>
  <c r="CW12" i="5" s="1"/>
  <c r="BQ7" i="7" s="1"/>
  <c r="CV6" i="5"/>
  <c r="CV7" i="5" s="1"/>
  <c r="BN2" i="7" s="1"/>
  <c r="CU6" i="5"/>
  <c r="CU9" i="5" s="1"/>
  <c r="BK4" i="7" s="1"/>
  <c r="CT6" i="5"/>
  <c r="CT7" i="5" s="1"/>
  <c r="BH2" i="7" s="1"/>
  <c r="CS6" i="5"/>
  <c r="CS11" i="5" s="1"/>
  <c r="BE6" i="7" s="1"/>
  <c r="CR6" i="5"/>
  <c r="CR7" i="5" s="1"/>
  <c r="BB2" i="7" s="1"/>
  <c r="CQ6" i="5"/>
  <c r="CP6" i="5"/>
  <c r="CP11" i="5" s="1"/>
  <c r="AV6" i="7" s="1"/>
  <c r="CO6" i="5"/>
  <c r="CN6" i="5"/>
  <c r="CN7" i="5" s="1"/>
  <c r="CM6" i="5"/>
  <c r="CL6" i="5"/>
  <c r="CL10" i="5" s="1"/>
  <c r="JK5" i="7" s="1"/>
  <c r="CK6" i="5"/>
  <c r="CJ6" i="5"/>
  <c r="CJ10" i="5" s="1"/>
  <c r="IQ5" i="7" s="1"/>
  <c r="CI6" i="5"/>
  <c r="CH6" i="5"/>
  <c r="CG6" i="5"/>
  <c r="CF6" i="5"/>
  <c r="CE6" i="5"/>
  <c r="CE11" i="5" s="1"/>
  <c r="CD6" i="5"/>
  <c r="CD10" i="5" s="1"/>
  <c r="JW5" i="7" s="1"/>
  <c r="CC6" i="5"/>
  <c r="CC10" i="5" s="1"/>
  <c r="JQ5" i="7" s="1"/>
  <c r="CB6" i="5"/>
  <c r="CB10" i="5" s="1"/>
  <c r="IW5" i="7" s="1"/>
  <c r="CA6" i="5"/>
  <c r="CA13" i="5" s="1"/>
  <c r="JG8" i="7" s="1"/>
  <c r="BZ6" i="5"/>
  <c r="BZ7" i="5" s="1"/>
  <c r="IO2" i="7" s="1"/>
  <c r="BY6" i="5"/>
  <c r="BY9" i="5" s="1"/>
  <c r="BX6" i="5"/>
  <c r="BX7" i="5" s="1"/>
  <c r="JU2" i="7" s="1"/>
  <c r="BW6" i="5"/>
  <c r="BW11" i="5" s="1"/>
  <c r="II6" i="7" s="1"/>
  <c r="BV6" i="5"/>
  <c r="BV9" i="5" s="1"/>
  <c r="JO4" i="7" s="1"/>
  <c r="BU6" i="5"/>
  <c r="BU14" i="5" s="1"/>
  <c r="IU9" i="7" s="1"/>
  <c r="BT6" i="5"/>
  <c r="BT14" i="5" s="1"/>
  <c r="JE9" i="7" s="1"/>
  <c r="BS6" i="5"/>
  <c r="BR6" i="5"/>
  <c r="BR9" i="5" s="1"/>
  <c r="BQ6" i="5"/>
  <c r="BQ9" i="5" s="1"/>
  <c r="BP6" i="5"/>
  <c r="BP9" i="5" s="1"/>
  <c r="BO6" i="5"/>
  <c r="BO14" i="5" s="1"/>
  <c r="BN6" i="5"/>
  <c r="BN9" i="5" s="1"/>
  <c r="BM6" i="5"/>
  <c r="BM14" i="5" s="1"/>
  <c r="BL6" i="5"/>
  <c r="BL10" i="5" s="1"/>
  <c r="BK6" i="5"/>
  <c r="BK10" i="5" s="1"/>
  <c r="BJ6" i="5"/>
  <c r="BJ10" i="5" s="1"/>
  <c r="BI6" i="5"/>
  <c r="BI13" i="5" s="1"/>
  <c r="IZ8" i="7" s="1"/>
  <c r="BH6" i="5"/>
  <c r="BH11" i="5" s="1"/>
  <c r="JJ6" i="7" s="1"/>
  <c r="BG6" i="5"/>
  <c r="BG13" i="5" s="1"/>
  <c r="ER8" i="7" s="1"/>
  <c r="BF6" i="5"/>
  <c r="BF11" i="5" s="1"/>
  <c r="IP6" i="7" s="1"/>
  <c r="BE6" i="5"/>
  <c r="BE11" i="5" s="1"/>
  <c r="IX6" i="7" s="1"/>
  <c r="BD6" i="5"/>
  <c r="BD7" i="5" s="1"/>
  <c r="JH2" i="7" s="1"/>
  <c r="BC6" i="5"/>
  <c r="BC12" i="5" s="1"/>
  <c r="KB7" i="7" s="1"/>
  <c r="BB6" i="5"/>
  <c r="BB11" i="5" s="1"/>
  <c r="ID6" i="7" s="1"/>
  <c r="BA6" i="5"/>
  <c r="BA11" i="5" s="1"/>
  <c r="IJ6" i="7" s="1"/>
  <c r="AZ6" i="5"/>
  <c r="AY6" i="5"/>
  <c r="AX6" i="5"/>
  <c r="AX11" i="5" s="1"/>
  <c r="IV6" i="7" s="1"/>
  <c r="AW6" i="5"/>
  <c r="AV6" i="5"/>
  <c r="AV11" i="5" s="1"/>
  <c r="IN6" i="7" s="1"/>
  <c r="AU6" i="5"/>
  <c r="AT6" i="5"/>
  <c r="AT11" i="5" s="1"/>
  <c r="JT6" i="7" s="1"/>
  <c r="AS6" i="5"/>
  <c r="AS8" i="5" s="1"/>
  <c r="IH3" i="7" s="1"/>
  <c r="AR6" i="5"/>
  <c r="AR8" i="5" s="1"/>
  <c r="JN3" i="7" s="1"/>
  <c r="AQ6" i="5"/>
  <c r="AQ9" i="5" s="1"/>
  <c r="IT4" i="7" s="1"/>
  <c r="AP6" i="5"/>
  <c r="AP8" i="5" s="1"/>
  <c r="JD3" i="7" s="1"/>
  <c r="AO6" i="5"/>
  <c r="AO8" i="5" s="1"/>
  <c r="IB3" i="7" s="1"/>
  <c r="AN6" i="5"/>
  <c r="AN13" i="5" s="1"/>
  <c r="AM6" i="5"/>
  <c r="AM7" i="5" s="1"/>
  <c r="IL2" i="7" s="1"/>
  <c r="AL6" i="5"/>
  <c r="AL8" i="5" s="1"/>
  <c r="AK6" i="5"/>
  <c r="AK8" i="5" s="1"/>
  <c r="AJ6" i="5"/>
  <c r="AJ14" i="5" s="1"/>
  <c r="AI6" i="5"/>
  <c r="AI14" i="5" s="1"/>
  <c r="AH6" i="5"/>
  <c r="AH7" i="5" s="1"/>
  <c r="IF2" i="7" s="1"/>
  <c r="AG6" i="5"/>
  <c r="AG10" i="5" s="1"/>
  <c r="AF6" i="5"/>
  <c r="AF12" i="5" s="1"/>
  <c r="HU7" i="7" s="1"/>
  <c r="AE6" i="5"/>
  <c r="AE14" i="5" s="1"/>
  <c r="HG9" i="7" s="1"/>
  <c r="AD6" i="5"/>
  <c r="AD12" i="5" s="1"/>
  <c r="HV7" i="7" s="1"/>
  <c r="AC6" i="5"/>
  <c r="AC14" i="5" s="1"/>
  <c r="HA9" i="7" s="1"/>
  <c r="AB6" i="5"/>
  <c r="AA6" i="5"/>
  <c r="AA7" i="5" s="1"/>
  <c r="HD2" i="7" s="1"/>
  <c r="Z6" i="5"/>
  <c r="Z7" i="5" s="1"/>
  <c r="HT2" i="7" s="1"/>
  <c r="Y6" i="5"/>
  <c r="Y7" i="5" s="1"/>
  <c r="X6" i="5"/>
  <c r="W6" i="5"/>
  <c r="W11" i="5" s="1"/>
  <c r="HN6" i="7" s="1"/>
  <c r="V6" i="5"/>
  <c r="V11" i="5" s="1"/>
  <c r="HY6" i="7" s="1"/>
  <c r="U6" i="5"/>
  <c r="T6" i="5"/>
  <c r="S6" i="5"/>
  <c r="S8" i="5" s="1"/>
  <c r="HE3" i="7" s="1"/>
  <c r="R6" i="5"/>
  <c r="R8" i="5" s="1"/>
  <c r="HR3" i="7" s="1"/>
  <c r="Q6" i="5"/>
  <c r="Q12" i="5" s="1"/>
  <c r="HL7" i="7" s="1"/>
  <c r="P6" i="5"/>
  <c r="P13" i="5" s="1"/>
  <c r="HX8" i="7" s="1"/>
  <c r="O6" i="5"/>
  <c r="O10" i="5" s="1"/>
  <c r="HQ5" i="7" s="1"/>
  <c r="N6" i="5"/>
  <c r="N12" i="5" s="1"/>
  <c r="HH7" i="7" s="1"/>
  <c r="M6" i="5"/>
  <c r="M7" i="5" s="1"/>
  <c r="HJ2" i="7" s="1"/>
  <c r="L6" i="5"/>
  <c r="L10" i="5" s="1"/>
  <c r="HP5" i="7" s="1"/>
  <c r="K6" i="5"/>
  <c r="K12" i="5" s="1"/>
  <c r="HB7" i="7" s="1"/>
  <c r="J6" i="5"/>
  <c r="J12" i="5" s="1"/>
  <c r="I6" i="5"/>
  <c r="I12" i="5" s="1"/>
  <c r="H6" i="5"/>
  <c r="H12" i="5" s="1"/>
  <c r="G6" i="5"/>
  <c r="F6" i="5"/>
  <c r="E6" i="5"/>
  <c r="D6" i="5"/>
  <c r="C6" i="5"/>
  <c r="C7" i="5" s="1"/>
  <c r="F2" i="7" s="1"/>
  <c r="B6" i="5"/>
  <c r="B7" i="5" s="1"/>
  <c r="BX14" i="5" l="1"/>
  <c r="JU9" i="7" s="1"/>
  <c r="EK13" i="5"/>
  <c r="BY8" i="7" s="1"/>
  <c r="BY14" i="5"/>
  <c r="EO9" i="5"/>
  <c r="CK4" i="7" s="1"/>
  <c r="AF10" i="5"/>
  <c r="HU5" i="7" s="1"/>
  <c r="CW10" i="5"/>
  <c r="BQ5" i="7" s="1"/>
  <c r="BD13" i="5"/>
  <c r="JH8" i="7" s="1"/>
  <c r="EL13" i="5"/>
  <c r="CB8" i="7" s="1"/>
  <c r="DU8" i="7" s="1"/>
  <c r="L11" i="5"/>
  <c r="HP6" i="7" s="1"/>
  <c r="DQ9" i="7"/>
  <c r="CC14" i="5"/>
  <c r="JQ9" i="7" s="1"/>
  <c r="EQ14" i="5"/>
  <c r="CQ9" i="7" s="1"/>
  <c r="EE9" i="7" s="1"/>
  <c r="AJ10" i="5"/>
  <c r="IR5" i="7" s="1"/>
  <c r="DP10" i="5"/>
  <c r="BR5" i="7" s="1"/>
  <c r="DN5" i="7" s="1"/>
  <c r="O11" i="5"/>
  <c r="HQ6" i="7" s="1"/>
  <c r="CT11" i="5"/>
  <c r="BH6" i="7" s="1"/>
  <c r="BE12" i="5"/>
  <c r="IX7" i="7" s="1"/>
  <c r="DQ12" i="5"/>
  <c r="BU7" i="7" s="1"/>
  <c r="DP7" i="7" s="1"/>
  <c r="I13" i="5"/>
  <c r="HI8" i="7" s="1"/>
  <c r="BW13" i="5"/>
  <c r="II8" i="7" s="1"/>
  <c r="EP13" i="5"/>
  <c r="CN8" i="7" s="1"/>
  <c r="CX9" i="5"/>
  <c r="BT4" i="7" s="1"/>
  <c r="CU11" i="5"/>
  <c r="BK6" i="7" s="1"/>
  <c r="CY9" i="5"/>
  <c r="BW4" i="7" s="1"/>
  <c r="FJ9" i="5"/>
  <c r="FB4" i="7" s="1"/>
  <c r="BB10" i="5"/>
  <c r="ID5" i="7" s="1"/>
  <c r="DR10" i="5"/>
  <c r="BX5" i="7" s="1"/>
  <c r="DR5" i="7" s="1"/>
  <c r="Q11" i="5"/>
  <c r="HL6" i="7" s="1"/>
  <c r="CV11" i="5"/>
  <c r="BN6" i="7" s="1"/>
  <c r="FO11" i="5"/>
  <c r="BG12" i="5"/>
  <c r="DV12" i="5"/>
  <c r="CJ7" i="7" s="1"/>
  <c r="K13" i="5"/>
  <c r="HB8" i="7" s="1"/>
  <c r="CD13" i="5"/>
  <c r="JW8" i="7" s="1"/>
  <c r="ER13" i="5"/>
  <c r="CT8" i="7" s="1"/>
  <c r="EG8" i="7" s="1"/>
  <c r="AF14" i="5"/>
  <c r="HU9" i="7" s="1"/>
  <c r="CU14" i="5"/>
  <c r="BK9" i="7" s="1"/>
  <c r="BC9" i="5"/>
  <c r="EN4" i="7" s="1"/>
  <c r="FK9" i="5"/>
  <c r="FE4" i="7" s="1"/>
  <c r="GJ4" i="7" s="1"/>
  <c r="BC10" i="5"/>
  <c r="KB5" i="7" s="1"/>
  <c r="DS10" i="5"/>
  <c r="CA5" i="7" s="1"/>
  <c r="DT5" i="7" s="1"/>
  <c r="CW11" i="5"/>
  <c r="BQ6" i="7" s="1"/>
  <c r="FH14" i="5"/>
  <c r="EV9" i="7" s="1"/>
  <c r="BW14" i="5"/>
  <c r="II9" i="7" s="1"/>
  <c r="AF7" i="5"/>
  <c r="HU2" i="7" s="1"/>
  <c r="CU10" i="5"/>
  <c r="BK5" i="7" s="1"/>
  <c r="EK8" i="5"/>
  <c r="BY3" i="7" s="1"/>
  <c r="BA12" i="5"/>
  <c r="IJ7" i="7" s="1"/>
  <c r="BZ14" i="5"/>
  <c r="IO9" i="7" s="1"/>
  <c r="DS7" i="5"/>
  <c r="CA2" i="7" s="1"/>
  <c r="H68" i="8" s="1"/>
  <c r="EN8" i="5"/>
  <c r="CH3" i="7" s="1"/>
  <c r="DY3" i="7" s="1"/>
  <c r="M11" i="5"/>
  <c r="HJ6" i="7" s="1"/>
  <c r="EN13" i="5"/>
  <c r="CH8" i="7" s="1"/>
  <c r="DY8" i="7" s="1"/>
  <c r="CB14" i="5"/>
  <c r="IW9" i="7" s="1"/>
  <c r="BE7" i="5"/>
  <c r="IX2" i="7" s="1"/>
  <c r="N11" i="5"/>
  <c r="HH6" i="7" s="1"/>
  <c r="FK11" i="5"/>
  <c r="FE6" i="7" s="1"/>
  <c r="BD12" i="5"/>
  <c r="JH7" i="7" s="1"/>
  <c r="DO12" i="5"/>
  <c r="BO7" i="7" s="1"/>
  <c r="DL7" i="7" s="1"/>
  <c r="EO13" i="5"/>
  <c r="CK8" i="7" s="1"/>
  <c r="EA8" i="7" s="1"/>
  <c r="DW7" i="5"/>
  <c r="CM2" i="7" s="1"/>
  <c r="EB2" i="7" s="1"/>
  <c r="M8" i="5"/>
  <c r="HJ3" i="7" s="1"/>
  <c r="BW8" i="5"/>
  <c r="II3" i="7" s="1"/>
  <c r="EQ8" i="5"/>
  <c r="CQ3" i="7" s="1"/>
  <c r="FM11" i="5"/>
  <c r="FK6" i="7" s="1"/>
  <c r="N8" i="5"/>
  <c r="HH3" i="7" s="1"/>
  <c r="CA8" i="5"/>
  <c r="JG3" i="7" s="1"/>
  <c r="ER8" i="5"/>
  <c r="CT3" i="7" s="1"/>
  <c r="FI9" i="5"/>
  <c r="EY4" i="7" s="1"/>
  <c r="AK10" i="5"/>
  <c r="DQ10" i="5"/>
  <c r="BU5" i="7" s="1"/>
  <c r="P11" i="5"/>
  <c r="HX6" i="7" s="1"/>
  <c r="FN11" i="5"/>
  <c r="FN6" i="7" s="1"/>
  <c r="BF12" i="5"/>
  <c r="IP7" i="7" s="1"/>
  <c r="DS12" i="5"/>
  <c r="CA7" i="7" s="1"/>
  <c r="J13" i="5"/>
  <c r="BY13" i="5"/>
  <c r="JY8" i="7" s="1"/>
  <c r="EQ13" i="5"/>
  <c r="CQ8" i="7" s="1"/>
  <c r="EE8" i="7" s="1"/>
  <c r="ES14" i="5"/>
  <c r="CW9" i="7" s="1"/>
  <c r="BH7" i="5"/>
  <c r="JJ2" i="7" s="1"/>
  <c r="O8" i="5"/>
  <c r="HQ3" i="7" s="1"/>
  <c r="CD8" i="5"/>
  <c r="JW3" i="7" s="1"/>
  <c r="ES8" i="5"/>
  <c r="CW3" i="7" s="1"/>
  <c r="EI3" i="7" s="1"/>
  <c r="BI7" i="5"/>
  <c r="IZ2" i="7" s="1"/>
  <c r="ED7" i="5"/>
  <c r="BD2" i="7" s="1"/>
  <c r="P8" i="5"/>
  <c r="HX3" i="7" s="1"/>
  <c r="CE8" i="5"/>
  <c r="IK3" i="7" s="1"/>
  <c r="CZ9" i="5"/>
  <c r="BZ4" i="7" s="1"/>
  <c r="DW12" i="5"/>
  <c r="CM7" i="7" s="1"/>
  <c r="L13" i="5"/>
  <c r="HP8" i="7" s="1"/>
  <c r="CE13" i="5"/>
  <c r="IK8" i="7" s="1"/>
  <c r="AH14" i="5"/>
  <c r="CV14" i="5"/>
  <c r="BN9" i="7" s="1"/>
  <c r="EE7" i="5"/>
  <c r="BG2" i="7" s="1"/>
  <c r="I48" i="8" s="1"/>
  <c r="Q8" i="5"/>
  <c r="HL3" i="7" s="1"/>
  <c r="CJ8" i="5"/>
  <c r="IQ3" i="7" s="1"/>
  <c r="FJ8" i="5"/>
  <c r="FB3" i="7" s="1"/>
  <c r="BD9" i="5"/>
  <c r="JH4" i="7" s="1"/>
  <c r="DA9" i="5"/>
  <c r="CC4" i="7" s="1"/>
  <c r="DV4" i="7" s="1"/>
  <c r="FL9" i="5"/>
  <c r="FH4" i="7" s="1"/>
  <c r="BD10" i="5"/>
  <c r="JH5" i="7" s="1"/>
  <c r="DU10" i="5"/>
  <c r="CG5" i="7" s="1"/>
  <c r="CZ11" i="5"/>
  <c r="BZ6" i="7" s="1"/>
  <c r="C67" i="8" s="1"/>
  <c r="C12" i="5"/>
  <c r="F7" i="7" s="1"/>
  <c r="BX12" i="5"/>
  <c r="JU7" i="7" s="1"/>
  <c r="M13" i="5"/>
  <c r="HJ8" i="7" s="1"/>
  <c r="CR13" i="5"/>
  <c r="BB8" i="7" s="1"/>
  <c r="AM14" i="5"/>
  <c r="CW14" i="5"/>
  <c r="BQ9" i="7" s="1"/>
  <c r="FI14" i="5"/>
  <c r="EY9" i="7" s="1"/>
  <c r="FH12" i="5"/>
  <c r="EV7" i="7" s="1"/>
  <c r="FJ11" i="5"/>
  <c r="FB6" i="7" s="1"/>
  <c r="L8" i="5"/>
  <c r="HP3" i="7" s="1"/>
  <c r="BE10" i="5"/>
  <c r="IX5" i="7" s="1"/>
  <c r="BY12" i="5"/>
  <c r="JY7" i="7" s="1"/>
  <c r="N13" i="5"/>
  <c r="HH8" i="7" s="1"/>
  <c r="CV13" i="5"/>
  <c r="BN8" i="7" s="1"/>
  <c r="DL8" i="7" s="1"/>
  <c r="FH13" i="5"/>
  <c r="EV8" i="7" s="1"/>
  <c r="FJ14" i="5"/>
  <c r="FB9" i="7" s="1"/>
  <c r="BE13" i="5"/>
  <c r="IX8" i="7" s="1"/>
  <c r="FK8" i="5"/>
  <c r="FE3" i="7" s="1"/>
  <c r="AI11" i="5"/>
  <c r="JB6" i="7" s="1"/>
  <c r="DO11" i="5"/>
  <c r="BO6" i="7" s="1"/>
  <c r="CX14" i="5"/>
  <c r="BT9" i="7" s="1"/>
  <c r="CA7" i="5"/>
  <c r="JG2" i="7" s="1"/>
  <c r="CL8" i="5"/>
  <c r="JK3" i="7" s="1"/>
  <c r="FL8" i="5"/>
  <c r="FH3" i="7" s="1"/>
  <c r="DE9" i="5"/>
  <c r="CO4" i="7" s="1"/>
  <c r="ED4" i="7" s="1"/>
  <c r="FR9" i="5"/>
  <c r="FW4" i="7" s="1"/>
  <c r="BF10" i="5"/>
  <c r="IP5" i="7" s="1"/>
  <c r="EE10" i="5"/>
  <c r="BG5" i="7" s="1"/>
  <c r="AL11" i="5"/>
  <c r="DP11" i="5"/>
  <c r="BR6" i="7" s="1"/>
  <c r="BZ12" i="5"/>
  <c r="IO7" i="7" s="1"/>
  <c r="EL12" i="5"/>
  <c r="CB7" i="7" s="1"/>
  <c r="O13" i="5"/>
  <c r="HQ8" i="7" s="1"/>
  <c r="CW13" i="5"/>
  <c r="BQ8" i="7" s="1"/>
  <c r="DN8" i="7" s="1"/>
  <c r="FI13" i="5"/>
  <c r="EY8" i="7" s="1"/>
  <c r="GJ8" i="7" s="1"/>
  <c r="BD14" i="5"/>
  <c r="JH9" i="7" s="1"/>
  <c r="CY14" i="5"/>
  <c r="BW9" i="7" s="1"/>
  <c r="DR9" i="7" s="1"/>
  <c r="FK14" i="5"/>
  <c r="FE9" i="7" s="1"/>
  <c r="FH11" i="5"/>
  <c r="EV6" i="7" s="1"/>
  <c r="CA14" i="5"/>
  <c r="JG9" i="7" s="1"/>
  <c r="I8" i="5"/>
  <c r="HI3" i="7" s="1"/>
  <c r="FT8" i="5"/>
  <c r="FY3" i="7" s="1"/>
  <c r="DR9" i="5"/>
  <c r="BX4" i="7" s="1"/>
  <c r="DR4" i="7" s="1"/>
  <c r="BG10" i="5"/>
  <c r="ER5" i="7" s="1"/>
  <c r="EN10" i="5"/>
  <c r="CH5" i="7" s="1"/>
  <c r="E75" i="8" s="1"/>
  <c r="AS11" i="5"/>
  <c r="IH6" i="7" s="1"/>
  <c r="DQ11" i="5"/>
  <c r="BU6" i="7" s="1"/>
  <c r="DP6" i="7" s="1"/>
  <c r="CA12" i="5"/>
  <c r="JG7" i="7" s="1"/>
  <c r="EM12" i="5"/>
  <c r="CE7" i="7" s="1"/>
  <c r="CY13" i="5"/>
  <c r="BW8" i="7" s="1"/>
  <c r="FJ13" i="5"/>
  <c r="FB8" i="7" s="1"/>
  <c r="BE14" i="5"/>
  <c r="IX9" i="7" s="1"/>
  <c r="CZ14" i="5"/>
  <c r="BZ9" i="7" s="1"/>
  <c r="FL14" i="5"/>
  <c r="FH9" i="7" s="1"/>
  <c r="EN9" i="5"/>
  <c r="CH4" i="7" s="1"/>
  <c r="CV8" i="5"/>
  <c r="BN3" i="7" s="1"/>
  <c r="DL3" i="7" s="1"/>
  <c r="J7" i="5"/>
  <c r="BB12" i="5"/>
  <c r="ID7" i="7" s="1"/>
  <c r="AJ9" i="5"/>
  <c r="DV7" i="5"/>
  <c r="CJ2" i="7" s="1"/>
  <c r="D77" i="8" s="1"/>
  <c r="CB7" i="5"/>
  <c r="IW2" i="7" s="1"/>
  <c r="EO7" i="5"/>
  <c r="CK2" i="7" s="1"/>
  <c r="H78" i="8" s="1"/>
  <c r="DS9" i="5"/>
  <c r="CA4" i="7" s="1"/>
  <c r="DT4" i="7" s="1"/>
  <c r="BH10" i="5"/>
  <c r="JJ5" i="7" s="1"/>
  <c r="FK13" i="5"/>
  <c r="FE8" i="7" s="1"/>
  <c r="BH14" i="5"/>
  <c r="JJ9" i="7" s="1"/>
  <c r="AH8" i="5"/>
  <c r="IF3" i="7" s="1"/>
  <c r="FN13" i="5"/>
  <c r="FN8" i="7" s="1"/>
  <c r="AH9" i="5"/>
  <c r="IF4" i="7" s="1"/>
  <c r="EP8" i="5"/>
  <c r="CN3" i="7" s="1"/>
  <c r="EC3" i="7" s="1"/>
  <c r="AI10" i="5"/>
  <c r="JB5" i="7" s="1"/>
  <c r="CD14" i="5"/>
  <c r="JW9" i="7" s="1"/>
  <c r="BE9" i="5"/>
  <c r="IX4" i="7" s="1"/>
  <c r="CE7" i="5"/>
  <c r="IK2" i="7" s="1"/>
  <c r="EP7" i="5"/>
  <c r="CN2" i="7" s="1"/>
  <c r="EC2" i="7" s="1"/>
  <c r="FT9" i="5"/>
  <c r="FY4" i="7" s="1"/>
  <c r="GE4" i="7" s="1"/>
  <c r="EO10" i="5"/>
  <c r="CK5" i="7" s="1"/>
  <c r="EA5" i="7" s="1"/>
  <c r="DR11" i="5"/>
  <c r="BX6" i="7" s="1"/>
  <c r="CB12" i="5"/>
  <c r="IW7" i="7" s="1"/>
  <c r="EN12" i="5"/>
  <c r="CH7" i="7" s="1"/>
  <c r="DY7" i="7" s="1"/>
  <c r="Q13" i="5"/>
  <c r="HL8" i="7" s="1"/>
  <c r="EX7" i="5"/>
  <c r="FF2" i="7" s="1"/>
  <c r="AI8" i="5"/>
  <c r="JB3" i="7" s="1"/>
  <c r="DG8" i="5"/>
  <c r="CU3" i="7" s="1"/>
  <c r="DY9" i="5"/>
  <c r="CS4" i="7" s="1"/>
  <c r="I86" i="8" s="1"/>
  <c r="BZ10" i="5"/>
  <c r="IO5" i="7" s="1"/>
  <c r="FH10" i="5"/>
  <c r="EV5" i="7" s="1"/>
  <c r="DT11" i="5"/>
  <c r="CD6" i="7" s="1"/>
  <c r="DV6" i="7" s="1"/>
  <c r="M12" i="5"/>
  <c r="HJ7" i="7" s="1"/>
  <c r="CD12" i="5"/>
  <c r="JW7" i="7" s="1"/>
  <c r="EQ12" i="5"/>
  <c r="CQ7" i="7" s="1"/>
  <c r="AH13" i="5"/>
  <c r="DO13" i="5"/>
  <c r="BO8" i="7" s="1"/>
  <c r="FO13" i="5"/>
  <c r="FS14" i="5"/>
  <c r="FX9" i="7" s="1"/>
  <c r="DU7" i="5"/>
  <c r="CG2" i="7" s="1"/>
  <c r="EO8" i="5"/>
  <c r="CK3" i="7" s="1"/>
  <c r="EA3" i="7" s="1"/>
  <c r="AH10" i="5"/>
  <c r="Y5" i="6" s="1"/>
  <c r="CV9" i="5"/>
  <c r="BN4" i="7" s="1"/>
  <c r="BF7" i="5"/>
  <c r="IP2" i="7" s="1"/>
  <c r="CW9" i="5"/>
  <c r="BQ4" i="7" s="1"/>
  <c r="J58" i="8" s="1"/>
  <c r="ER14" i="5"/>
  <c r="CT9" i="7" s="1"/>
  <c r="BG7" i="5"/>
  <c r="CW8" i="5"/>
  <c r="BQ3" i="7" s="1"/>
  <c r="K58" i="8" s="1"/>
  <c r="DA14" i="5"/>
  <c r="CC9" i="7" s="1"/>
  <c r="DS11" i="5"/>
  <c r="CA6" i="7" s="1"/>
  <c r="EO12" i="5"/>
  <c r="CK7" i="7" s="1"/>
  <c r="EA7" i="7" s="1"/>
  <c r="EY7" i="5"/>
  <c r="FI2" i="7" s="1"/>
  <c r="AJ8" i="5"/>
  <c r="IR3" i="7" s="1"/>
  <c r="M9" i="5"/>
  <c r="HJ4" i="7" s="1"/>
  <c r="BT9" i="5"/>
  <c r="JE4" i="7" s="1"/>
  <c r="M10" i="5"/>
  <c r="HJ5" i="7" s="1"/>
  <c r="CA10" i="5"/>
  <c r="JG5" i="7" s="1"/>
  <c r="DU11" i="5"/>
  <c r="CG6" i="7" s="1"/>
  <c r="CE12" i="5"/>
  <c r="IK7" i="7" s="1"/>
  <c r="AI13" i="5"/>
  <c r="FS13" i="5"/>
  <c r="FX8" i="7" s="1"/>
  <c r="BQ14" i="5"/>
  <c r="ER7" i="5"/>
  <c r="CT2" i="7" s="1"/>
  <c r="BI10" i="5"/>
  <c r="IZ5" i="7" s="1"/>
  <c r="CC12" i="5"/>
  <c r="JQ7" i="7" s="1"/>
  <c r="DR8" i="5"/>
  <c r="BX3" i="7" s="1"/>
  <c r="DS3" i="7" s="1"/>
  <c r="N9" i="5"/>
  <c r="HH4" i="7" s="1"/>
  <c r="N10" i="5"/>
  <c r="HH5" i="7" s="1"/>
  <c r="FJ10" i="5"/>
  <c r="FB5" i="7" s="1"/>
  <c r="DV11" i="5"/>
  <c r="CJ6" i="7" s="1"/>
  <c r="AH12" i="5"/>
  <c r="IF7" i="7" s="1"/>
  <c r="CV12" i="5"/>
  <c r="BN7" i="7" s="1"/>
  <c r="AJ13" i="5"/>
  <c r="T8" i="7" s="1"/>
  <c r="DQ13" i="5"/>
  <c r="BU8" i="7" s="1"/>
  <c r="DQ8" i="7" s="1"/>
  <c r="CJ7" i="5"/>
  <c r="IQ2" i="7" s="1"/>
  <c r="N7" i="5"/>
  <c r="HH2" i="7" s="1"/>
  <c r="CL7" i="5"/>
  <c r="JK2" i="7" s="1"/>
  <c r="FF7" i="5"/>
  <c r="FJ2" i="7" s="1"/>
  <c r="O9" i="5"/>
  <c r="HQ4" i="7" s="1"/>
  <c r="BD11" i="5"/>
  <c r="JH6" i="7" s="1"/>
  <c r="DW11" i="5"/>
  <c r="CM6" i="7" s="1"/>
  <c r="AI12" i="5"/>
  <c r="AK13" i="5"/>
  <c r="DR13" i="5"/>
  <c r="BX8" i="7" s="1"/>
  <c r="DR8" i="7" s="1"/>
  <c r="A5" i="6"/>
  <c r="IA5" i="7"/>
  <c r="EP5" i="7"/>
  <c r="KD5" i="7"/>
  <c r="IG5" i="7"/>
  <c r="E2" i="7"/>
  <c r="CY4" i="7"/>
  <c r="EL8" i="7"/>
  <c r="JZ8" i="7"/>
  <c r="DJ7" i="7"/>
  <c r="AA4" i="7"/>
  <c r="JM4" i="7"/>
  <c r="JL8" i="7"/>
  <c r="JY4" i="7"/>
  <c r="EK4" i="7"/>
  <c r="Y2" i="7"/>
  <c r="CG11" i="5"/>
  <c r="CG14" i="5"/>
  <c r="CG9" i="5"/>
  <c r="CG7" i="5"/>
  <c r="CG12" i="5"/>
  <c r="CG8" i="5"/>
  <c r="DC13" i="5"/>
  <c r="CI8" i="7" s="1"/>
  <c r="DZ8" i="7" s="1"/>
  <c r="DC8" i="5"/>
  <c r="CI3" i="7" s="1"/>
  <c r="DZ3" i="7" s="1"/>
  <c r="DC11" i="5"/>
  <c r="CI6" i="7" s="1"/>
  <c r="DC10" i="5"/>
  <c r="CI5" i="7" s="1"/>
  <c r="DZ5" i="7" s="1"/>
  <c r="DC7" i="5"/>
  <c r="CI2" i="7" s="1"/>
  <c r="JR2" i="7"/>
  <c r="AC2" i="7"/>
  <c r="T10" i="5"/>
  <c r="HM5" i="7" s="1"/>
  <c r="T13" i="5"/>
  <c r="HM8" i="7" s="1"/>
  <c r="T8" i="5"/>
  <c r="HM3" i="7" s="1"/>
  <c r="T14" i="5"/>
  <c r="HM9" i="7" s="1"/>
  <c r="T7" i="5"/>
  <c r="HM2" i="7" s="1"/>
  <c r="T9" i="5"/>
  <c r="HM4" i="7" s="1"/>
  <c r="T12" i="5"/>
  <c r="HM7" i="7" s="1"/>
  <c r="DD8" i="5"/>
  <c r="CL3" i="7" s="1"/>
  <c r="EB3" i="7" s="1"/>
  <c r="DD11" i="5"/>
  <c r="CL6" i="7" s="1"/>
  <c r="DD7" i="5"/>
  <c r="CL2" i="7" s="1"/>
  <c r="DD10" i="5"/>
  <c r="CL5" i="7" s="1"/>
  <c r="EB5" i="7" s="1"/>
  <c r="FR12" i="5"/>
  <c r="FW7" i="7" s="1"/>
  <c r="GC7" i="7" s="1"/>
  <c r="FR11" i="5"/>
  <c r="FW6" i="7" s="1"/>
  <c r="FR7" i="5"/>
  <c r="FW2" i="7" s="1"/>
  <c r="FR10" i="5"/>
  <c r="FW5" i="7" s="1"/>
  <c r="FR13" i="5"/>
  <c r="FW8" i="7" s="1"/>
  <c r="DZ6" i="7"/>
  <c r="EA6" i="7"/>
  <c r="HI7" i="7"/>
  <c r="HW8" i="7"/>
  <c r="AQ8" i="5"/>
  <c r="IT3" i="7" s="1"/>
  <c r="IL4" i="7"/>
  <c r="EB6" i="7"/>
  <c r="HW7" i="7"/>
  <c r="AP9" i="5"/>
  <c r="JD4" i="7" s="1"/>
  <c r="DY11" i="5"/>
  <c r="CS6" i="7" s="1"/>
  <c r="HF2" i="7"/>
  <c r="JS4" i="7"/>
  <c r="KA4" i="7"/>
  <c r="EM4" i="7"/>
  <c r="EQ2" i="7"/>
  <c r="KE2" i="7"/>
  <c r="G81" i="8"/>
  <c r="F81" i="8"/>
  <c r="D81" i="8"/>
  <c r="C81" i="8"/>
  <c r="HT4" i="7"/>
  <c r="BJ14" i="5"/>
  <c r="BJ8" i="5"/>
  <c r="BJ13" i="5"/>
  <c r="BJ12" i="5"/>
  <c r="BJ11" i="5"/>
  <c r="BJ9" i="5"/>
  <c r="BJ7" i="5"/>
  <c r="IR2" i="7"/>
  <c r="S10" i="5"/>
  <c r="HE5" i="7" s="1"/>
  <c r="S7" i="5"/>
  <c r="HE2" i="7" s="1"/>
  <c r="S14" i="5"/>
  <c r="HE9" i="7" s="1"/>
  <c r="S13" i="5"/>
  <c r="HE8" i="7" s="1"/>
  <c r="S9" i="5"/>
  <c r="HE4" i="7" s="1"/>
  <c r="S12" i="5"/>
  <c r="HE7" i="7" s="1"/>
  <c r="FQ7" i="5"/>
  <c r="FV2" i="7" s="1"/>
  <c r="GB2" i="7" s="1"/>
  <c r="FQ11" i="5"/>
  <c r="FV6" i="7" s="1"/>
  <c r="FQ10" i="5"/>
  <c r="FV5" i="7" s="1"/>
  <c r="FQ13" i="5"/>
  <c r="FV8" i="7" s="1"/>
  <c r="BK11" i="5"/>
  <c r="BM7" i="5"/>
  <c r="BM12" i="5"/>
  <c r="BM11" i="5"/>
  <c r="BM8" i="5"/>
  <c r="BM13" i="5"/>
  <c r="BM10" i="5"/>
  <c r="AT14" i="5"/>
  <c r="JT9" i="7" s="1"/>
  <c r="AT12" i="5"/>
  <c r="JT7" i="7" s="1"/>
  <c r="AT10" i="5"/>
  <c r="JT5" i="7" s="1"/>
  <c r="AT8" i="5"/>
  <c r="JT3" i="7" s="1"/>
  <c r="AT9" i="5"/>
  <c r="JT4" i="7" s="1"/>
  <c r="AT7" i="5"/>
  <c r="JT2" i="7" s="1"/>
  <c r="EZ14" i="5"/>
  <c r="FL9" i="7" s="1"/>
  <c r="EZ12" i="5"/>
  <c r="FL7" i="7" s="1"/>
  <c r="EZ8" i="5"/>
  <c r="FL3" i="7" s="1"/>
  <c r="EZ9" i="5"/>
  <c r="FL4" i="7" s="1"/>
  <c r="EZ13" i="5"/>
  <c r="FL8" i="7" s="1"/>
  <c r="KF8" i="7"/>
  <c r="AU13" i="5"/>
  <c r="AU11" i="5"/>
  <c r="AU10" i="5"/>
  <c r="AU9" i="5"/>
  <c r="AU14" i="5"/>
  <c r="AU7" i="5"/>
  <c r="AU12" i="5"/>
  <c r="CM13" i="5"/>
  <c r="JA8" i="7" s="1"/>
  <c r="CM11" i="5"/>
  <c r="JA6" i="7" s="1"/>
  <c r="CM14" i="5"/>
  <c r="JA9" i="7" s="1"/>
  <c r="CM7" i="5"/>
  <c r="JA2" i="7" s="1"/>
  <c r="CM12" i="5"/>
  <c r="JA7" i="7" s="1"/>
  <c r="CM9" i="5"/>
  <c r="JA4" i="7" s="1"/>
  <c r="CM8" i="5"/>
  <c r="JA3" i="7" s="1"/>
  <c r="EE13" i="5"/>
  <c r="BG8" i="7" s="1"/>
  <c r="DG8" i="7" s="1"/>
  <c r="EE11" i="5"/>
  <c r="BG6" i="7" s="1"/>
  <c r="DG6" i="7" s="1"/>
  <c r="EE12" i="5"/>
  <c r="BG7" i="7" s="1"/>
  <c r="DG7" i="7" s="1"/>
  <c r="EE8" i="5"/>
  <c r="BG3" i="7" s="1"/>
  <c r="DG3" i="7" s="1"/>
  <c r="Z14" i="5"/>
  <c r="Z12" i="5"/>
  <c r="Z10" i="5"/>
  <c r="Z13" i="5"/>
  <c r="Z11" i="5"/>
  <c r="Z8" i="5"/>
  <c r="DJ14" i="5"/>
  <c r="AZ9" i="7" s="1"/>
  <c r="DJ12" i="5"/>
  <c r="AZ7" i="7" s="1"/>
  <c r="DJ10" i="5"/>
  <c r="AZ5" i="7" s="1"/>
  <c r="DB5" i="7" s="1"/>
  <c r="DJ11" i="5"/>
  <c r="AZ6" i="7" s="1"/>
  <c r="DJ9" i="5"/>
  <c r="AZ4" i="7" s="1"/>
  <c r="DJ7" i="5"/>
  <c r="AZ2" i="7" s="1"/>
  <c r="KG6" i="7"/>
  <c r="ES6" i="7"/>
  <c r="DK14" i="5"/>
  <c r="BC9" i="7" s="1"/>
  <c r="DD9" i="7" s="1"/>
  <c r="DK13" i="5"/>
  <c r="BC8" i="7" s="1"/>
  <c r="DD8" i="7" s="1"/>
  <c r="DK11" i="5"/>
  <c r="BC6" i="7" s="1"/>
  <c r="DD6" i="7" s="1"/>
  <c r="DK9" i="5"/>
  <c r="BC4" i="7" s="1"/>
  <c r="DD4" i="7" s="1"/>
  <c r="DK7" i="5"/>
  <c r="BC2" i="7" s="1"/>
  <c r="DE2" i="7" s="1"/>
  <c r="DK10" i="5"/>
  <c r="BC5" i="7" s="1"/>
  <c r="DD5" i="7" s="1"/>
  <c r="DK8" i="5"/>
  <c r="BC3" i="7" s="1"/>
  <c r="DD3" i="7" s="1"/>
  <c r="JR8" i="7"/>
  <c r="IM4" i="7"/>
  <c r="JM9" i="7"/>
  <c r="IM9" i="7"/>
  <c r="JR3" i="7"/>
  <c r="GB7" i="7"/>
  <c r="B9" i="7"/>
  <c r="A9" i="6"/>
  <c r="A7" i="6"/>
  <c r="B7" i="7"/>
  <c r="R10" i="5"/>
  <c r="HR5" i="7" s="1"/>
  <c r="R9" i="5"/>
  <c r="HR4" i="7" s="1"/>
  <c r="R14" i="5"/>
  <c r="HR9" i="7" s="1"/>
  <c r="R7" i="5"/>
  <c r="HR2" i="7" s="1"/>
  <c r="R13" i="5"/>
  <c r="DB8" i="5"/>
  <c r="CF3" i="7" s="1"/>
  <c r="DB13" i="5"/>
  <c r="CF8" i="7" s="1"/>
  <c r="DB12" i="5"/>
  <c r="CF7" i="7" s="1"/>
  <c r="DX7" i="7" s="1"/>
  <c r="DB11" i="5"/>
  <c r="CF6" i="7" s="1"/>
  <c r="DX6" i="7" s="1"/>
  <c r="DB10" i="5"/>
  <c r="CF5" i="7" s="1"/>
  <c r="DX5" i="7" s="1"/>
  <c r="DB7" i="5"/>
  <c r="CF2" i="7" s="1"/>
  <c r="FP14" i="5"/>
  <c r="FU9" i="7" s="1"/>
  <c r="FP9" i="5"/>
  <c r="FU4" i="7" s="1"/>
  <c r="FP12" i="5"/>
  <c r="FU7" i="7" s="1"/>
  <c r="FP8" i="5"/>
  <c r="FU3" i="7" s="1"/>
  <c r="FP7" i="5"/>
  <c r="FU2" i="7" s="1"/>
  <c r="FP10" i="5"/>
  <c r="FU5" i="7" s="1"/>
  <c r="FP11" i="5"/>
  <c r="FU6" i="7" s="1"/>
  <c r="GA6" i="7" s="1"/>
  <c r="FP13" i="5"/>
  <c r="FU8" i="7" s="1"/>
  <c r="ET8" i="5"/>
  <c r="ET3" i="7" s="1"/>
  <c r="HO8" i="7"/>
  <c r="CH11" i="5"/>
  <c r="JI6" i="7" s="1"/>
  <c r="CH13" i="5"/>
  <c r="JI8" i="7" s="1"/>
  <c r="CH7" i="5"/>
  <c r="JI2" i="7" s="1"/>
  <c r="CH14" i="5"/>
  <c r="JI9" i="7" s="1"/>
  <c r="CH9" i="5"/>
  <c r="JI4" i="7" s="1"/>
  <c r="CH12" i="5"/>
  <c r="JI7" i="7" s="1"/>
  <c r="CH8" i="5"/>
  <c r="JI3" i="7" s="1"/>
  <c r="DY6" i="7"/>
  <c r="CI14" i="5"/>
  <c r="IY9" i="7" s="1"/>
  <c r="CI9" i="5"/>
  <c r="IY4" i="7" s="1"/>
  <c r="CI7" i="5"/>
  <c r="IY2" i="7" s="1"/>
  <c r="CI13" i="5"/>
  <c r="IY8" i="7" s="1"/>
  <c r="CI8" i="5"/>
  <c r="IY3" i="7" s="1"/>
  <c r="CI12" i="5"/>
  <c r="IY7" i="7" s="1"/>
  <c r="EW10" i="5"/>
  <c r="FC5" i="7" s="1"/>
  <c r="EW7" i="5"/>
  <c r="FC2" i="7" s="1"/>
  <c r="EW9" i="5"/>
  <c r="FC4" i="7" s="1"/>
  <c r="EW13" i="5"/>
  <c r="FC8" i="7" s="1"/>
  <c r="EW14" i="5"/>
  <c r="FC9" i="7" s="1"/>
  <c r="EW11" i="5"/>
  <c r="FC6" i="7" s="1"/>
  <c r="EV8" i="5"/>
  <c r="EZ3" i="7" s="1"/>
  <c r="BP14" i="5"/>
  <c r="BP12" i="5"/>
  <c r="BP7" i="5"/>
  <c r="BP10" i="5"/>
  <c r="BP8" i="5"/>
  <c r="BP11" i="5"/>
  <c r="BP13" i="5"/>
  <c r="BQ13" i="5"/>
  <c r="BQ11" i="5"/>
  <c r="BQ12" i="5"/>
  <c r="BQ10" i="5"/>
  <c r="BQ8" i="5"/>
  <c r="BQ7" i="5"/>
  <c r="CG10" i="5"/>
  <c r="R11" i="5"/>
  <c r="HR6" i="7" s="1"/>
  <c r="AV14" i="5"/>
  <c r="IN9" i="7" s="1"/>
  <c r="AV12" i="5"/>
  <c r="AV10" i="5"/>
  <c r="IN5" i="7" s="1"/>
  <c r="AV8" i="5"/>
  <c r="IN3" i="7" s="1"/>
  <c r="AV13" i="5"/>
  <c r="IN8" i="7" s="1"/>
  <c r="AV9" i="5"/>
  <c r="IN4" i="7" s="1"/>
  <c r="AV7" i="5"/>
  <c r="IN2" i="7" s="1"/>
  <c r="EF14" i="5"/>
  <c r="BJ9" i="7" s="1"/>
  <c r="EF12" i="5"/>
  <c r="BJ7" i="7" s="1"/>
  <c r="EF10" i="5"/>
  <c r="BJ5" i="7" s="1"/>
  <c r="DI5" i="7" s="1"/>
  <c r="EF11" i="5"/>
  <c r="BJ6" i="7" s="1"/>
  <c r="EF13" i="5"/>
  <c r="BJ8" i="7" s="1"/>
  <c r="DI8" i="7" s="1"/>
  <c r="EF8" i="5"/>
  <c r="BJ3" i="7" s="1"/>
  <c r="DI3" i="7" s="1"/>
  <c r="CH10" i="5"/>
  <c r="JI5" i="7" s="1"/>
  <c r="S11" i="5"/>
  <c r="HE6" i="7" s="1"/>
  <c r="AA14" i="5"/>
  <c r="HD9" i="7" s="1"/>
  <c r="AA13" i="5"/>
  <c r="HD8" i="7" s="1"/>
  <c r="AA11" i="5"/>
  <c r="HD6" i="7" s="1"/>
  <c r="AA9" i="5"/>
  <c r="HD4" i="7" s="1"/>
  <c r="AA12" i="5"/>
  <c r="HD7" i="7" s="1"/>
  <c r="AA8" i="5"/>
  <c r="HD3" i="7" s="1"/>
  <c r="AA10" i="5"/>
  <c r="HD5" i="7" s="1"/>
  <c r="FQ8" i="5"/>
  <c r="FV3" i="7" s="1"/>
  <c r="BT13" i="5"/>
  <c r="JE8" i="7" s="1"/>
  <c r="BT12" i="5"/>
  <c r="JE7" i="7" s="1"/>
  <c r="BT10" i="5"/>
  <c r="JE5" i="7" s="1"/>
  <c r="BT8" i="5"/>
  <c r="JE3" i="7" s="1"/>
  <c r="BT11" i="5"/>
  <c r="JE6" i="7" s="1"/>
  <c r="EI8" i="7"/>
  <c r="EG2" i="7"/>
  <c r="HC8" i="7"/>
  <c r="J61" i="8"/>
  <c r="F61" i="8"/>
  <c r="EA13" i="5"/>
  <c r="AU8" i="7" s="1"/>
  <c r="EA11" i="5"/>
  <c r="AU6" i="7" s="1"/>
  <c r="EA12" i="5"/>
  <c r="AU7" i="7" s="1"/>
  <c r="EA8" i="5"/>
  <c r="AU3" i="7" s="1"/>
  <c r="EA10" i="5"/>
  <c r="AU5" i="7" s="1"/>
  <c r="EA14" i="5"/>
  <c r="AU9" i="7" s="1"/>
  <c r="DH14" i="5"/>
  <c r="AT9" i="7" s="1"/>
  <c r="DH12" i="5"/>
  <c r="AT7" i="7" s="1"/>
  <c r="DH11" i="5"/>
  <c r="AT6" i="7" s="1"/>
  <c r="DH10" i="5"/>
  <c r="AT5" i="7" s="1"/>
  <c r="CX5" i="7" s="1"/>
  <c r="DH9" i="5"/>
  <c r="AT4" i="7" s="1"/>
  <c r="DH7" i="5"/>
  <c r="AT2" i="7" s="1"/>
  <c r="DG5" i="7"/>
  <c r="CI11" i="5"/>
  <c r="IY6" i="7" s="1"/>
  <c r="C13" i="5"/>
  <c r="F8" i="7" s="1"/>
  <c r="C11" i="5"/>
  <c r="F6" i="7" s="1"/>
  <c r="C9" i="5"/>
  <c r="F4" i="7" s="1"/>
  <c r="C8" i="5"/>
  <c r="F3" i="7" s="1"/>
  <c r="C10" i="5"/>
  <c r="F5" i="7" s="1"/>
  <c r="FA13" i="5"/>
  <c r="EU8" i="7" s="1"/>
  <c r="FA11" i="5"/>
  <c r="EU6" i="7" s="1"/>
  <c r="FA8" i="5"/>
  <c r="EU3" i="7" s="1"/>
  <c r="FA14" i="5"/>
  <c r="EU9" i="7" s="1"/>
  <c r="FA12" i="5"/>
  <c r="EU7" i="7" s="1"/>
  <c r="FA9" i="5"/>
  <c r="EU4" i="7" s="1"/>
  <c r="FA7" i="5"/>
  <c r="EU2" i="7" s="1"/>
  <c r="CG13" i="5"/>
  <c r="BR14" i="5"/>
  <c r="BR12" i="5"/>
  <c r="BR10" i="5"/>
  <c r="BR8" i="5"/>
  <c r="BR11" i="5"/>
  <c r="BR13" i="5"/>
  <c r="FB14" i="5"/>
  <c r="EX9" i="7" s="1"/>
  <c r="FB12" i="5"/>
  <c r="EX7" i="7" s="1"/>
  <c r="FB10" i="5"/>
  <c r="EX5" i="7" s="1"/>
  <c r="FB8" i="5"/>
  <c r="EX3" i="7" s="1"/>
  <c r="FB13" i="5"/>
  <c r="EX8" i="7" s="1"/>
  <c r="FB7" i="5"/>
  <c r="EX2" i="7" s="1"/>
  <c r="AB13" i="5"/>
  <c r="HK8" i="7" s="1"/>
  <c r="AB12" i="5"/>
  <c r="HK7" i="7" s="1"/>
  <c r="AB10" i="5"/>
  <c r="HK5" i="7" s="1"/>
  <c r="AB8" i="5"/>
  <c r="HK3" i="7" s="1"/>
  <c r="AB11" i="5"/>
  <c r="HK6" i="7" s="1"/>
  <c r="DL13" i="5"/>
  <c r="BF8" i="7" s="1"/>
  <c r="DL12" i="5"/>
  <c r="BF7" i="7" s="1"/>
  <c r="DL10" i="5"/>
  <c r="BF5" i="7" s="1"/>
  <c r="DL8" i="5"/>
  <c r="BF3" i="7" s="1"/>
  <c r="DL9" i="5"/>
  <c r="BF4" i="7" s="1"/>
  <c r="DG4" i="7" s="1"/>
  <c r="DL7" i="5"/>
  <c r="BF2" i="7" s="1"/>
  <c r="DL14" i="5"/>
  <c r="BF9" i="7" s="1"/>
  <c r="DF9" i="7" s="1"/>
  <c r="DL11" i="5"/>
  <c r="BF6" i="7" s="1"/>
  <c r="DF6" i="7" s="1"/>
  <c r="AA5" i="6"/>
  <c r="Z5" i="6"/>
  <c r="HZ5" i="7"/>
  <c r="FB9" i="5"/>
  <c r="EX4" i="7" s="1"/>
  <c r="IF5" i="7"/>
  <c r="ES5" i="7"/>
  <c r="KG5" i="7"/>
  <c r="FA10" i="5"/>
  <c r="EU5" i="7" s="1"/>
  <c r="IR7" i="7"/>
  <c r="IL9" i="7"/>
  <c r="JC9" i="7"/>
  <c r="IL8" i="7"/>
  <c r="ET7" i="5"/>
  <c r="ET2" i="7" s="1"/>
  <c r="ET12" i="5"/>
  <c r="ET7" i="7" s="1"/>
  <c r="ET10" i="5"/>
  <c r="ET5" i="7" s="1"/>
  <c r="ET9" i="5"/>
  <c r="ET4" i="7" s="1"/>
  <c r="ET13" i="5"/>
  <c r="ET8" i="7" s="1"/>
  <c r="BL14" i="5"/>
  <c r="BL9" i="5"/>
  <c r="BL12" i="5"/>
  <c r="BL13" i="5"/>
  <c r="BL11" i="5"/>
  <c r="BL8" i="5"/>
  <c r="BL7" i="5"/>
  <c r="AQ12" i="5"/>
  <c r="IT7" i="7" s="1"/>
  <c r="AQ10" i="5"/>
  <c r="AQ14" i="5"/>
  <c r="IT9" i="7" s="1"/>
  <c r="AQ13" i="5"/>
  <c r="IT8" i="7" s="1"/>
  <c r="AQ11" i="5"/>
  <c r="IT6" i="7" s="1"/>
  <c r="AQ7" i="5"/>
  <c r="IT2" i="7" s="1"/>
  <c r="FS7" i="5"/>
  <c r="FX2" i="7" s="1"/>
  <c r="FS12" i="5"/>
  <c r="FX7" i="7" s="1"/>
  <c r="FS11" i="5"/>
  <c r="FX6" i="7" s="1"/>
  <c r="FS10" i="5"/>
  <c r="FX5" i="7" s="1"/>
  <c r="GD5" i="7" s="1"/>
  <c r="X14" i="5"/>
  <c r="X12" i="5"/>
  <c r="X8" i="5"/>
  <c r="X13" i="5"/>
  <c r="X9" i="5"/>
  <c r="X11" i="5"/>
  <c r="X10" i="5"/>
  <c r="ED14" i="5"/>
  <c r="BD9" i="7" s="1"/>
  <c r="ED12" i="5"/>
  <c r="BD7" i="7" s="1"/>
  <c r="DE7" i="7" s="1"/>
  <c r="ED13" i="5"/>
  <c r="BD8" i="7" s="1"/>
  <c r="ED8" i="5"/>
  <c r="BD3" i="7" s="1"/>
  <c r="ED11" i="5"/>
  <c r="BD6" i="7" s="1"/>
  <c r="ED9" i="5"/>
  <c r="BD4" i="7" s="1"/>
  <c r="A2" i="6"/>
  <c r="B2" i="7"/>
  <c r="Y13" i="5"/>
  <c r="Y11" i="5"/>
  <c r="Y8" i="5"/>
  <c r="Y14" i="5"/>
  <c r="Y9" i="5"/>
  <c r="Y12" i="5"/>
  <c r="Y10" i="5"/>
  <c r="DI13" i="5"/>
  <c r="AW8" i="7" s="1"/>
  <c r="DI11" i="5"/>
  <c r="AW6" i="7" s="1"/>
  <c r="CZ6" i="7" s="1"/>
  <c r="DI9" i="5"/>
  <c r="AW4" i="7" s="1"/>
  <c r="DI14" i="5"/>
  <c r="AW9" i="7" s="1"/>
  <c r="DI10" i="5"/>
  <c r="AW5" i="7" s="1"/>
  <c r="CZ5" i="7" s="1"/>
  <c r="DI7" i="5"/>
  <c r="AW2" i="7" s="1"/>
  <c r="DJ8" i="5"/>
  <c r="AZ3" i="7" s="1"/>
  <c r="FC14" i="5"/>
  <c r="FA9" i="7" s="1"/>
  <c r="GB9" i="7" s="1"/>
  <c r="FC13" i="5"/>
  <c r="FA8" i="7" s="1"/>
  <c r="FC11" i="5"/>
  <c r="FA6" i="7" s="1"/>
  <c r="FC9" i="5"/>
  <c r="FA4" i="7" s="1"/>
  <c r="GB4" i="7" s="1"/>
  <c r="FC8" i="5"/>
  <c r="FA3" i="7" s="1"/>
  <c r="FC7" i="5"/>
  <c r="FA2" i="7" s="1"/>
  <c r="FD13" i="5"/>
  <c r="FD8" i="7" s="1"/>
  <c r="FD12" i="5"/>
  <c r="FD7" i="7" s="1"/>
  <c r="FD10" i="5"/>
  <c r="FD5" i="7" s="1"/>
  <c r="FD8" i="5"/>
  <c r="FD3" i="7" s="1"/>
  <c r="FD14" i="5"/>
  <c r="FD9" i="7" s="1"/>
  <c r="GC9" i="7" s="1"/>
  <c r="FD7" i="5"/>
  <c r="FD2" i="7" s="1"/>
  <c r="FD11" i="5"/>
  <c r="FD6" i="7" s="1"/>
  <c r="FR8" i="5"/>
  <c r="FW3" i="7" s="1"/>
  <c r="FD9" i="5"/>
  <c r="FD4" i="7" s="1"/>
  <c r="GC4" i="7" s="1"/>
  <c r="FC10" i="5"/>
  <c r="FA5" i="7" s="1"/>
  <c r="EW12" i="5"/>
  <c r="FC7" i="7" s="1"/>
  <c r="IF8" i="7"/>
  <c r="DD13" i="5"/>
  <c r="CL8" i="7" s="1"/>
  <c r="AN12" i="5"/>
  <c r="AN8" i="5"/>
  <c r="AN11" i="5"/>
  <c r="AN10" i="5"/>
  <c r="AN14" i="5"/>
  <c r="AN9" i="5"/>
  <c r="CF11" i="5"/>
  <c r="IE6" i="7" s="1"/>
  <c r="CF10" i="5"/>
  <c r="IE5" i="7" s="1"/>
  <c r="CF7" i="5"/>
  <c r="IE2" i="7" s="1"/>
  <c r="CF14" i="5"/>
  <c r="IE9" i="7" s="1"/>
  <c r="CF9" i="5"/>
  <c r="IE4" i="7" s="1"/>
  <c r="CF13" i="5"/>
  <c r="IE8" i="7" s="1"/>
  <c r="CF12" i="5"/>
  <c r="IE7" i="7" s="1"/>
  <c r="CF8" i="5"/>
  <c r="IE3" i="7" s="1"/>
  <c r="DX10" i="5"/>
  <c r="CP5" i="7" s="1"/>
  <c r="DX13" i="5"/>
  <c r="CP8" i="7" s="1"/>
  <c r="DX8" i="5"/>
  <c r="CP3" i="7" s="1"/>
  <c r="ED3" i="7" s="1"/>
  <c r="DX14" i="5"/>
  <c r="CP9" i="7" s="1"/>
  <c r="DX12" i="5"/>
  <c r="CP7" i="7" s="1"/>
  <c r="ED7" i="7" s="1"/>
  <c r="DX11" i="5"/>
  <c r="CP6" i="7" s="1"/>
  <c r="I58" i="8"/>
  <c r="F58" i="8"/>
  <c r="C58" i="8"/>
  <c r="H58" i="8"/>
  <c r="G58" i="8"/>
  <c r="AO7" i="5"/>
  <c r="IB2" i="7" s="1"/>
  <c r="AO12" i="5"/>
  <c r="IB7" i="7" s="1"/>
  <c r="AO11" i="5"/>
  <c r="IB6" i="7" s="1"/>
  <c r="AO10" i="5"/>
  <c r="IB5" i="7" s="1"/>
  <c r="AO14" i="5"/>
  <c r="IB9" i="7" s="1"/>
  <c r="AO9" i="5"/>
  <c r="IB4" i="7" s="1"/>
  <c r="DY10" i="5"/>
  <c r="CS5" i="7" s="1"/>
  <c r="DY14" i="5"/>
  <c r="CS9" i="7" s="1"/>
  <c r="DY13" i="5"/>
  <c r="CS8" i="7" s="1"/>
  <c r="DY12" i="5"/>
  <c r="CS7" i="7" s="1"/>
  <c r="EF7" i="7" s="1"/>
  <c r="DY8" i="5"/>
  <c r="CS3" i="7" s="1"/>
  <c r="EF3" i="7" s="1"/>
  <c r="EU12" i="5"/>
  <c r="EW7" i="7" s="1"/>
  <c r="EU14" i="5"/>
  <c r="EW9" i="7" s="1"/>
  <c r="EU7" i="5"/>
  <c r="EW2" i="7" s="1"/>
  <c r="EU9" i="5"/>
  <c r="EW4" i="7" s="1"/>
  <c r="EU13" i="5"/>
  <c r="EW8" i="7" s="1"/>
  <c r="AP7" i="5"/>
  <c r="AP12" i="5"/>
  <c r="JD7" i="7" s="1"/>
  <c r="AP10" i="5"/>
  <c r="AP11" i="5"/>
  <c r="JD6" i="7" s="1"/>
  <c r="AP14" i="5"/>
  <c r="JD9" i="7" s="1"/>
  <c r="AP13" i="5"/>
  <c r="JD8" i="7" s="1"/>
  <c r="DZ13" i="5"/>
  <c r="CV8" i="7" s="1"/>
  <c r="DZ8" i="5"/>
  <c r="CV3" i="7" s="1"/>
  <c r="EH3" i="7" s="1"/>
  <c r="DZ11" i="5"/>
  <c r="CV6" i="7" s="1"/>
  <c r="DZ12" i="5"/>
  <c r="CV7" i="7" s="1"/>
  <c r="EH7" i="7" s="1"/>
  <c r="DZ10" i="5"/>
  <c r="CV5" i="7" s="1"/>
  <c r="DZ14" i="5"/>
  <c r="CV9" i="7" s="1"/>
  <c r="EH9" i="7" s="1"/>
  <c r="U10" i="5"/>
  <c r="HS5" i="7" s="1"/>
  <c r="U13" i="5"/>
  <c r="HS8" i="7" s="1"/>
  <c r="U9" i="5"/>
  <c r="HS4" i="7" s="1"/>
  <c r="U14" i="5"/>
  <c r="HS9" i="7" s="1"/>
  <c r="U7" i="5"/>
  <c r="HS2" i="7" s="1"/>
  <c r="U12" i="5"/>
  <c r="HS7" i="7" s="1"/>
  <c r="DE11" i="5"/>
  <c r="CO6" i="7" s="1"/>
  <c r="DE10" i="5"/>
  <c r="CO5" i="7" s="1"/>
  <c r="DE7" i="5"/>
  <c r="CO2" i="7" s="1"/>
  <c r="DE14" i="5"/>
  <c r="CO9" i="7" s="1"/>
  <c r="DE13" i="5"/>
  <c r="CO8" i="7" s="1"/>
  <c r="IR4" i="7"/>
  <c r="B14" i="5"/>
  <c r="B12" i="5"/>
  <c r="B11" i="5"/>
  <c r="B8" i="5"/>
  <c r="B10" i="5"/>
  <c r="B9" i="5"/>
  <c r="B13" i="5"/>
  <c r="CL14" i="5"/>
  <c r="JK9" i="7" s="1"/>
  <c r="CL12" i="5"/>
  <c r="JK7" i="7" s="1"/>
  <c r="CL9" i="5"/>
  <c r="JK4" i="7" s="1"/>
  <c r="CL13" i="5"/>
  <c r="JK8" i="7" s="1"/>
  <c r="DH8" i="5"/>
  <c r="AT3" i="7" s="1"/>
  <c r="CX3" i="7" s="1"/>
  <c r="AU8" i="5"/>
  <c r="DI8" i="5"/>
  <c r="AW3" i="7" s="1"/>
  <c r="R12" i="5"/>
  <c r="HR7" i="7" s="1"/>
  <c r="D14" i="5"/>
  <c r="G9" i="7" s="1"/>
  <c r="D12" i="5"/>
  <c r="G7" i="7" s="1"/>
  <c r="D10" i="5"/>
  <c r="G5" i="7" s="1"/>
  <c r="D11" i="5"/>
  <c r="G6" i="7" s="1"/>
  <c r="D8" i="5"/>
  <c r="G3" i="7" s="1"/>
  <c r="D9" i="5"/>
  <c r="G4" i="7" s="1"/>
  <c r="D13" i="5"/>
  <c r="G8" i="7" s="1"/>
  <c r="CN14" i="5"/>
  <c r="CN12" i="5"/>
  <c r="CN10" i="5"/>
  <c r="CN8" i="5"/>
  <c r="CN9" i="5"/>
  <c r="CN13" i="5"/>
  <c r="EI6" i="7"/>
  <c r="E14" i="5"/>
  <c r="H9" i="7" s="1"/>
  <c r="E13" i="5"/>
  <c r="H8" i="7" s="1"/>
  <c r="E11" i="5"/>
  <c r="H6" i="7" s="1"/>
  <c r="E9" i="5"/>
  <c r="H4" i="7" s="1"/>
  <c r="E8" i="5"/>
  <c r="H3" i="7" s="1"/>
  <c r="E10" i="5"/>
  <c r="H5" i="7" s="1"/>
  <c r="AW14" i="5"/>
  <c r="JF9" i="7" s="1"/>
  <c r="AW13" i="5"/>
  <c r="JF8" i="7" s="1"/>
  <c r="AW11" i="5"/>
  <c r="JF6" i="7" s="1"/>
  <c r="AW9" i="5"/>
  <c r="JF4" i="7" s="1"/>
  <c r="AW10" i="5"/>
  <c r="JF5" i="7" s="1"/>
  <c r="AW7" i="5"/>
  <c r="JF2" i="7" s="1"/>
  <c r="BS14" i="5"/>
  <c r="IC9" i="7" s="1"/>
  <c r="BS13" i="5"/>
  <c r="IC8" i="7" s="1"/>
  <c r="BS11" i="5"/>
  <c r="IC6" i="7" s="1"/>
  <c r="BS9" i="5"/>
  <c r="IC4" i="7" s="1"/>
  <c r="BS12" i="5"/>
  <c r="IC7" i="7" s="1"/>
  <c r="BS10" i="5"/>
  <c r="IC5" i="7" s="1"/>
  <c r="CO14" i="5"/>
  <c r="AS9" i="7" s="1"/>
  <c r="CO13" i="5"/>
  <c r="AS8" i="7" s="1"/>
  <c r="CO11" i="5"/>
  <c r="AS6" i="7" s="1"/>
  <c r="CO9" i="5"/>
  <c r="AS4" i="7" s="1"/>
  <c r="CO7" i="5"/>
  <c r="AS2" i="7" s="1"/>
  <c r="CO12" i="5"/>
  <c r="AS7" i="7" s="1"/>
  <c r="CO8" i="5"/>
  <c r="AS3" i="7" s="1"/>
  <c r="EG14" i="5"/>
  <c r="BM9" i="7" s="1"/>
  <c r="EG13" i="5"/>
  <c r="BM8" i="7" s="1"/>
  <c r="DK8" i="7" s="1"/>
  <c r="EG11" i="5"/>
  <c r="BM6" i="7" s="1"/>
  <c r="EG9" i="5"/>
  <c r="BM4" i="7" s="1"/>
  <c r="EG12" i="5"/>
  <c r="BM7" i="7" s="1"/>
  <c r="DK7" i="7" s="1"/>
  <c r="EG8" i="5"/>
  <c r="BM3" i="7" s="1"/>
  <c r="EG7" i="5"/>
  <c r="BM2" i="7" s="1"/>
  <c r="EG10" i="5"/>
  <c r="BM5" i="7" s="1"/>
  <c r="DK5" i="7" s="1"/>
  <c r="D7" i="5"/>
  <c r="G2" i="7" s="1"/>
  <c r="BR7" i="5"/>
  <c r="DX7" i="5"/>
  <c r="CP2" i="7" s="1"/>
  <c r="CI10" i="5"/>
  <c r="IY5" i="7" s="1"/>
  <c r="EU10" i="5"/>
  <c r="EW5" i="7" s="1"/>
  <c r="T11" i="5"/>
  <c r="HM6" i="7" s="1"/>
  <c r="CL11" i="5"/>
  <c r="JK6" i="7" s="1"/>
  <c r="ET11" i="5"/>
  <c r="ET6" i="7" s="1"/>
  <c r="F13" i="5"/>
  <c r="I8" i="7" s="1"/>
  <c r="F12" i="5"/>
  <c r="I7" i="7" s="1"/>
  <c r="F10" i="5"/>
  <c r="I5" i="7" s="1"/>
  <c r="F8" i="5"/>
  <c r="I3" i="7" s="1"/>
  <c r="F11" i="5"/>
  <c r="I6" i="7" s="1"/>
  <c r="F9" i="5"/>
  <c r="I4" i="7" s="1"/>
  <c r="F7" i="5"/>
  <c r="I2" i="7" s="1"/>
  <c r="AX13" i="5"/>
  <c r="IV8" i="7" s="1"/>
  <c r="AX12" i="5"/>
  <c r="IV7" i="7" s="1"/>
  <c r="AX10" i="5"/>
  <c r="IV5" i="7" s="1"/>
  <c r="AX8" i="5"/>
  <c r="IV3" i="7" s="1"/>
  <c r="AX14" i="5"/>
  <c r="IV9" i="7" s="1"/>
  <c r="AX7" i="5"/>
  <c r="IV2" i="7" s="1"/>
  <c r="AX9" i="5"/>
  <c r="IV4" i="7" s="1"/>
  <c r="CP13" i="5"/>
  <c r="AV8" i="7" s="1"/>
  <c r="CP12" i="5"/>
  <c r="AV7" i="7" s="1"/>
  <c r="CZ7" i="7" s="1"/>
  <c r="CP10" i="5"/>
  <c r="AV5" i="7" s="1"/>
  <c r="CP8" i="5"/>
  <c r="AV3" i="7" s="1"/>
  <c r="CP14" i="5"/>
  <c r="AV9" i="7" s="1"/>
  <c r="CP7" i="5"/>
  <c r="AV2" i="7" s="1"/>
  <c r="CP9" i="5"/>
  <c r="AV4" i="7" s="1"/>
  <c r="EH13" i="5"/>
  <c r="BP8" i="7" s="1"/>
  <c r="DM8" i="7" s="1"/>
  <c r="EH12" i="5"/>
  <c r="BP7" i="7" s="1"/>
  <c r="EH10" i="5"/>
  <c r="BP5" i="7" s="1"/>
  <c r="DM5" i="7" s="1"/>
  <c r="EH8" i="5"/>
  <c r="BP3" i="7" s="1"/>
  <c r="DM3" i="7" s="1"/>
  <c r="EH11" i="5"/>
  <c r="BP6" i="7" s="1"/>
  <c r="DM6" i="7" s="1"/>
  <c r="EH9" i="5"/>
  <c r="BP4" i="7" s="1"/>
  <c r="DM4" i="7" s="1"/>
  <c r="EH7" i="5"/>
  <c r="BP2" i="7" s="1"/>
  <c r="E7" i="5"/>
  <c r="H2" i="7" s="1"/>
  <c r="BS7" i="5"/>
  <c r="IC2" i="7" s="1"/>
  <c r="EZ10" i="5"/>
  <c r="FL5" i="7" s="1"/>
  <c r="U11" i="5"/>
  <c r="HS6" i="7" s="1"/>
  <c r="CN11" i="5"/>
  <c r="EU11" i="5"/>
  <c r="EW6" i="7" s="1"/>
  <c r="IF9" i="7"/>
  <c r="DH3" i="7"/>
  <c r="BT7" i="5"/>
  <c r="JE2" i="7" s="1"/>
  <c r="DZ7" i="5"/>
  <c r="CV2" i="7" s="1"/>
  <c r="EA7" i="5"/>
  <c r="AU2" i="7" s="1"/>
  <c r="ER3" i="7"/>
  <c r="KF3" i="7"/>
  <c r="BM9" i="5"/>
  <c r="DB9" i="5"/>
  <c r="CF4" i="7" s="1"/>
  <c r="CM10" i="5"/>
  <c r="JA5" i="7" s="1"/>
  <c r="EZ11" i="5"/>
  <c r="FL6" i="7" s="1"/>
  <c r="DC12" i="5"/>
  <c r="CI7" i="7" s="1"/>
  <c r="DZ7" i="7" s="1"/>
  <c r="W8" i="7"/>
  <c r="JB8" i="7"/>
  <c r="DH13" i="5"/>
  <c r="AT8" i="7" s="1"/>
  <c r="Z3" i="7"/>
  <c r="JL3" i="7"/>
  <c r="BK9" i="5"/>
  <c r="BK14" i="5"/>
  <c r="BK7" i="5"/>
  <c r="BK13" i="5"/>
  <c r="BK8" i="5"/>
  <c r="BK12" i="5"/>
  <c r="EV10" i="5"/>
  <c r="EZ5" i="7" s="1"/>
  <c r="EV7" i="5"/>
  <c r="EZ2" i="7" s="1"/>
  <c r="EV14" i="5"/>
  <c r="EZ9" i="7" s="1"/>
  <c r="EV9" i="5"/>
  <c r="EZ4" i="7" s="1"/>
  <c r="EV13" i="5"/>
  <c r="EZ8" i="7" s="1"/>
  <c r="EV11" i="5"/>
  <c r="EZ6" i="7" s="1"/>
  <c r="AN7" i="5"/>
  <c r="HO7" i="7"/>
  <c r="X7" i="5"/>
  <c r="IS4" i="7"/>
  <c r="DC9" i="5"/>
  <c r="CI4" i="7" s="1"/>
  <c r="GJ5" i="7"/>
  <c r="FB11" i="5"/>
  <c r="EX6" i="7" s="1"/>
  <c r="AW12" i="5"/>
  <c r="JF7" i="7" s="1"/>
  <c r="DD12" i="5"/>
  <c r="CL7" i="7" s="1"/>
  <c r="EB7" i="7" s="1"/>
  <c r="IR8" i="7"/>
  <c r="DJ13" i="5"/>
  <c r="AZ8" i="7" s="1"/>
  <c r="DG2" i="7"/>
  <c r="DX3" i="7"/>
  <c r="V14" i="5"/>
  <c r="HY9" i="7" s="1"/>
  <c r="V13" i="5"/>
  <c r="HY8" i="7" s="1"/>
  <c r="V8" i="5"/>
  <c r="HY3" i="7" s="1"/>
  <c r="V7" i="5"/>
  <c r="HY2" i="7" s="1"/>
  <c r="V12" i="5"/>
  <c r="HY7" i="7" s="1"/>
  <c r="V9" i="5"/>
  <c r="HY4" i="7" s="1"/>
  <c r="AR14" i="5"/>
  <c r="JN9" i="7" s="1"/>
  <c r="AR10" i="5"/>
  <c r="JN5" i="7" s="1"/>
  <c r="AR7" i="5"/>
  <c r="JN2" i="7" s="1"/>
  <c r="AR13" i="5"/>
  <c r="JN8" i="7" s="1"/>
  <c r="BN14" i="5"/>
  <c r="BN12" i="5"/>
  <c r="BN8" i="5"/>
  <c r="BN10" i="5"/>
  <c r="BN11" i="5"/>
  <c r="CJ14" i="5"/>
  <c r="IQ9" i="7" s="1"/>
  <c r="CJ13" i="5"/>
  <c r="IQ8" i="7" s="1"/>
  <c r="CJ12" i="5"/>
  <c r="IQ7" i="7" s="1"/>
  <c r="CJ9" i="5"/>
  <c r="IQ4" i="7" s="1"/>
  <c r="DF14" i="5"/>
  <c r="CR9" i="7" s="1"/>
  <c r="DF11" i="5"/>
  <c r="CR6" i="7" s="1"/>
  <c r="DF10" i="5"/>
  <c r="CR5" i="7" s="1"/>
  <c r="DF9" i="5"/>
  <c r="CR4" i="7" s="1"/>
  <c r="EF4" i="7" s="1"/>
  <c r="DF7" i="5"/>
  <c r="CR2" i="7" s="1"/>
  <c r="EB14" i="5"/>
  <c r="AX9" i="7" s="1"/>
  <c r="DA9" i="7" s="1"/>
  <c r="EB8" i="5"/>
  <c r="AX3" i="7" s="1"/>
  <c r="EB13" i="5"/>
  <c r="AX8" i="7" s="1"/>
  <c r="EB12" i="5"/>
  <c r="AX7" i="7" s="1"/>
  <c r="DA7" i="7" s="1"/>
  <c r="EB11" i="5"/>
  <c r="AX6" i="7" s="1"/>
  <c r="EX14" i="5"/>
  <c r="FF9" i="7" s="1"/>
  <c r="EX10" i="5"/>
  <c r="FF5" i="7" s="1"/>
  <c r="EX13" i="5"/>
  <c r="FF8" i="7" s="1"/>
  <c r="EX8" i="5"/>
  <c r="FF3" i="7" s="1"/>
  <c r="EX9" i="5"/>
  <c r="FF4" i="7" s="1"/>
  <c r="FT14" i="5"/>
  <c r="FY9" i="7" s="1"/>
  <c r="GE9" i="7" s="1"/>
  <c r="FT7" i="5"/>
  <c r="FY2" i="7" s="1"/>
  <c r="FT12" i="5"/>
  <c r="FY7" i="7" s="1"/>
  <c r="GE7" i="7" s="1"/>
  <c r="FT10" i="5"/>
  <c r="FY5" i="7" s="1"/>
  <c r="FT11" i="5"/>
  <c r="FY6" i="7" s="1"/>
  <c r="GE6" i="7" s="1"/>
  <c r="EK7" i="7"/>
  <c r="EK9" i="7"/>
  <c r="JY9" i="7"/>
  <c r="W13" i="5"/>
  <c r="HN8" i="7" s="1"/>
  <c r="W7" i="5"/>
  <c r="HN2" i="7" s="1"/>
  <c r="W14" i="5"/>
  <c r="HN9" i="7" s="1"/>
  <c r="W9" i="5"/>
  <c r="HN4" i="7" s="1"/>
  <c r="W12" i="5"/>
  <c r="HN7" i="7" s="1"/>
  <c r="AS13" i="5"/>
  <c r="IH8" i="7" s="1"/>
  <c r="AS10" i="5"/>
  <c r="IH5" i="7" s="1"/>
  <c r="AS7" i="5"/>
  <c r="IH2" i="7" s="1"/>
  <c r="BO13" i="5"/>
  <c r="BO7" i="5"/>
  <c r="BO12" i="5"/>
  <c r="BO8" i="5"/>
  <c r="BO10" i="5"/>
  <c r="BO11" i="5"/>
  <c r="CK13" i="5"/>
  <c r="CK9" i="5"/>
  <c r="CK14" i="5"/>
  <c r="CK7" i="5"/>
  <c r="CK12" i="5"/>
  <c r="DG13" i="5"/>
  <c r="CU8" i="7" s="1"/>
  <c r="DG11" i="5"/>
  <c r="CU6" i="7" s="1"/>
  <c r="DG9" i="5"/>
  <c r="CU4" i="7" s="1"/>
  <c r="EH4" i="7" s="1"/>
  <c r="DG10" i="5"/>
  <c r="CU5" i="7" s="1"/>
  <c r="DG7" i="5"/>
  <c r="CU2" i="7" s="1"/>
  <c r="EC13" i="5"/>
  <c r="BA8" i="7" s="1"/>
  <c r="EC8" i="5"/>
  <c r="BA3" i="7" s="1"/>
  <c r="I42" i="8" s="1"/>
  <c r="EC11" i="5"/>
  <c r="BA6" i="7" s="1"/>
  <c r="J42" i="8" s="1"/>
  <c r="EC12" i="5"/>
  <c r="BA7" i="7" s="1"/>
  <c r="EY13" i="5"/>
  <c r="FI8" i="7" s="1"/>
  <c r="EY10" i="5"/>
  <c r="FI5" i="7" s="1"/>
  <c r="EY9" i="5"/>
  <c r="FI4" i="7" s="1"/>
  <c r="EY14" i="5"/>
  <c r="FI9" i="7" s="1"/>
  <c r="FU13" i="5"/>
  <c r="FZ8" i="7" s="1"/>
  <c r="FU12" i="5"/>
  <c r="FZ7" i="7" s="1"/>
  <c r="FU11" i="5"/>
  <c r="FZ6" i="7" s="1"/>
  <c r="FU10" i="5"/>
  <c r="FZ5" i="7" s="1"/>
  <c r="FU9" i="5"/>
  <c r="FZ4" i="7" s="1"/>
  <c r="FU7" i="5"/>
  <c r="FZ2" i="7" s="1"/>
  <c r="GF2" i="7" s="1"/>
  <c r="AR11" i="5"/>
  <c r="JN6" i="7" s="1"/>
  <c r="DF13" i="5"/>
  <c r="CR8" i="7" s="1"/>
  <c r="AC12" i="5"/>
  <c r="HA7" i="7" s="1"/>
  <c r="AC11" i="5"/>
  <c r="HA6" i="7" s="1"/>
  <c r="AC9" i="5"/>
  <c r="HA4" i="7" s="1"/>
  <c r="AC7" i="5"/>
  <c r="HA2" i="7" s="1"/>
  <c r="AC13" i="5"/>
  <c r="HA8" i="7" s="1"/>
  <c r="AC8" i="5"/>
  <c r="HA3" i="7" s="1"/>
  <c r="CQ12" i="5"/>
  <c r="AY7" i="7" s="1"/>
  <c r="CQ11" i="5"/>
  <c r="AY6" i="7" s="1"/>
  <c r="CQ9" i="5"/>
  <c r="AY4" i="7" s="1"/>
  <c r="CQ7" i="5"/>
  <c r="AY2" i="7" s="1"/>
  <c r="CQ13" i="5"/>
  <c r="AY8" i="7" s="1"/>
  <c r="CQ14" i="5"/>
  <c r="AY9" i="7" s="1"/>
  <c r="CQ8" i="5"/>
  <c r="AY3" i="7" s="1"/>
  <c r="G12" i="5"/>
  <c r="G11" i="5"/>
  <c r="G9" i="5"/>
  <c r="G7" i="5"/>
  <c r="G14" i="5"/>
  <c r="G8" i="5"/>
  <c r="G10" i="5"/>
  <c r="DM12" i="5"/>
  <c r="BI7" i="7" s="1"/>
  <c r="DH7" i="7" s="1"/>
  <c r="DM11" i="5"/>
  <c r="BI6" i="7" s="1"/>
  <c r="DH6" i="7" s="1"/>
  <c r="DM9" i="5"/>
  <c r="BI4" i="7" s="1"/>
  <c r="DI4" i="7" s="1"/>
  <c r="DM7" i="5"/>
  <c r="BI2" i="7" s="1"/>
  <c r="DI2" i="7" s="1"/>
  <c r="DM14" i="5"/>
  <c r="BI9" i="7" s="1"/>
  <c r="BN13" i="5"/>
  <c r="JL7" i="7"/>
  <c r="BU12" i="5"/>
  <c r="IU7" i="7" s="1"/>
  <c r="BU11" i="5"/>
  <c r="IU6" i="7" s="1"/>
  <c r="BU9" i="5"/>
  <c r="IU4" i="7" s="1"/>
  <c r="BU7" i="5"/>
  <c r="IU2" i="7" s="1"/>
  <c r="BU10" i="5"/>
  <c r="IU5" i="7" s="1"/>
  <c r="BU8" i="5"/>
  <c r="IU3" i="7" s="1"/>
  <c r="EI12" i="5"/>
  <c r="BS7" i="7" s="1"/>
  <c r="EI11" i="5"/>
  <c r="BS6" i="7" s="1"/>
  <c r="DO6" i="7" s="1"/>
  <c r="EI9" i="5"/>
  <c r="BS4" i="7" s="1"/>
  <c r="EI7" i="5"/>
  <c r="BS2" i="7" s="1"/>
  <c r="EI13" i="5"/>
  <c r="BS8" i="7" s="1"/>
  <c r="DO8" i="7" s="1"/>
  <c r="EI8" i="5"/>
  <c r="BS3" i="7" s="1"/>
  <c r="EI10" i="5"/>
  <c r="BS5" i="7" s="1"/>
  <c r="DO5" i="7" s="1"/>
  <c r="DW7" i="7"/>
  <c r="EG4" i="7"/>
  <c r="DN6" i="7"/>
  <c r="AR12" i="5"/>
  <c r="JN7" i="7" s="1"/>
  <c r="BN7" i="5"/>
  <c r="EI4" i="7"/>
  <c r="AS12" i="5"/>
  <c r="IH7" i="7" s="1"/>
  <c r="AS14" i="5"/>
  <c r="IH9" i="7" s="1"/>
  <c r="AY12" i="5"/>
  <c r="JP7" i="7" s="1"/>
  <c r="AY11" i="5"/>
  <c r="JP6" i="7" s="1"/>
  <c r="AY9" i="5"/>
  <c r="JP4" i="7" s="1"/>
  <c r="AY7" i="5"/>
  <c r="JP2" i="7" s="1"/>
  <c r="AY8" i="5"/>
  <c r="JP3" i="7" s="1"/>
  <c r="AY10" i="5"/>
  <c r="JP5" i="7" s="1"/>
  <c r="AY13" i="5"/>
  <c r="JP8" i="7" s="1"/>
  <c r="AY14" i="5"/>
  <c r="JP9" i="7" s="1"/>
  <c r="FE12" i="5"/>
  <c r="FG7" i="7" s="1"/>
  <c r="FE11" i="5"/>
  <c r="FG6" i="7" s="1"/>
  <c r="FE9" i="5"/>
  <c r="FG4" i="7" s="1"/>
  <c r="GD4" i="7" s="1"/>
  <c r="FE7" i="5"/>
  <c r="FG2" i="7" s="1"/>
  <c r="FE13" i="5"/>
  <c r="FG8" i="7" s="1"/>
  <c r="GD8" i="7" s="1"/>
  <c r="FE8" i="5"/>
  <c r="FG3" i="7" s="1"/>
  <c r="GD3" i="7" s="1"/>
  <c r="FE14" i="5"/>
  <c r="FG9" i="7" s="1"/>
  <c r="GD9" i="7" s="1"/>
  <c r="EE4" i="7"/>
  <c r="DX2" i="7"/>
  <c r="HO4" i="7"/>
  <c r="EB10" i="5"/>
  <c r="AX5" i="7" s="1"/>
  <c r="BU13" i="5"/>
  <c r="IU8" i="7" s="1"/>
  <c r="DY2" i="7"/>
  <c r="I10" i="5"/>
  <c r="I9" i="5"/>
  <c r="I7" i="5"/>
  <c r="I14" i="5"/>
  <c r="AE10" i="5"/>
  <c r="HG5" i="7" s="1"/>
  <c r="AE9" i="5"/>
  <c r="HG4" i="7" s="1"/>
  <c r="AE7" i="5"/>
  <c r="HG2" i="7" s="1"/>
  <c r="AE11" i="5"/>
  <c r="HG6" i="7" s="1"/>
  <c r="BA10" i="5"/>
  <c r="IJ5" i="7" s="1"/>
  <c r="BA9" i="5"/>
  <c r="IJ4" i="7" s="1"/>
  <c r="BA7" i="5"/>
  <c r="IJ2" i="7" s="1"/>
  <c r="BA8" i="5"/>
  <c r="IJ3" i="7" s="1"/>
  <c r="BA13" i="5"/>
  <c r="IJ8" i="7" s="1"/>
  <c r="CS10" i="5"/>
  <c r="BE5" i="7" s="1"/>
  <c r="CS9" i="5"/>
  <c r="BE4" i="7" s="1"/>
  <c r="CS7" i="5"/>
  <c r="BE2" i="7" s="1"/>
  <c r="CS12" i="5"/>
  <c r="BE7" i="7" s="1"/>
  <c r="FG10" i="5"/>
  <c r="FM5" i="7" s="1"/>
  <c r="FG9" i="5"/>
  <c r="FM4" i="7" s="1"/>
  <c r="FG7" i="5"/>
  <c r="FM2" i="7" s="1"/>
  <c r="FG13" i="5"/>
  <c r="FM8" i="7" s="1"/>
  <c r="FG11" i="5"/>
  <c r="FM6" i="7" s="1"/>
  <c r="FG12" i="5"/>
  <c r="FM7" i="7" s="1"/>
  <c r="J9" i="5"/>
  <c r="J8" i="5"/>
  <c r="J14" i="5"/>
  <c r="BB9" i="5"/>
  <c r="ID4" i="7" s="1"/>
  <c r="BB8" i="5"/>
  <c r="ID3" i="7" s="1"/>
  <c r="BB13" i="5"/>
  <c r="ID8" i="7" s="1"/>
  <c r="BX9" i="5"/>
  <c r="JU4" i="7" s="1"/>
  <c r="BX8" i="5"/>
  <c r="JU3" i="7" s="1"/>
  <c r="BX10" i="5"/>
  <c r="JU5" i="7" s="1"/>
  <c r="BX13" i="5"/>
  <c r="JU8" i="7" s="1"/>
  <c r="DP9" i="5"/>
  <c r="BR4" i="7" s="1"/>
  <c r="DP8" i="5"/>
  <c r="BR3" i="7" s="1"/>
  <c r="DN3" i="7" s="1"/>
  <c r="DP14" i="5"/>
  <c r="BR9" i="7" s="1"/>
  <c r="DN9" i="7" s="1"/>
  <c r="DP12" i="5"/>
  <c r="BR7" i="7" s="1"/>
  <c r="DN7" i="7" s="1"/>
  <c r="EL9" i="5"/>
  <c r="CB4" i="7" s="1"/>
  <c r="EL8" i="5"/>
  <c r="CB3" i="7" s="1"/>
  <c r="DU3" i="7" s="1"/>
  <c r="EL11" i="5"/>
  <c r="CB6" i="7" s="1"/>
  <c r="DU6" i="7" s="1"/>
  <c r="E78" i="8"/>
  <c r="J78" i="8"/>
  <c r="D78" i="8"/>
  <c r="EN7" i="7"/>
  <c r="K8" i="5"/>
  <c r="HB3" i="7" s="1"/>
  <c r="K7" i="5"/>
  <c r="HB2" i="7" s="1"/>
  <c r="K9" i="5"/>
  <c r="HB4" i="7" s="1"/>
  <c r="K14" i="5"/>
  <c r="HB9" i="7" s="1"/>
  <c r="AG8" i="5"/>
  <c r="AG7" i="5"/>
  <c r="AG11" i="5"/>
  <c r="AG14" i="5"/>
  <c r="AG9" i="5"/>
  <c r="BC8" i="5"/>
  <c r="BC7" i="5"/>
  <c r="BC13" i="5"/>
  <c r="BC11" i="5"/>
  <c r="BY8" i="5"/>
  <c r="BY7" i="5"/>
  <c r="BY10" i="5"/>
  <c r="CU8" i="5"/>
  <c r="BK3" i="7" s="1"/>
  <c r="CU7" i="5"/>
  <c r="BK2" i="7" s="1"/>
  <c r="CU12" i="5"/>
  <c r="BK7" i="7" s="1"/>
  <c r="DQ8" i="5"/>
  <c r="BU3" i="7" s="1"/>
  <c r="DQ7" i="5"/>
  <c r="BU2" i="7" s="1"/>
  <c r="EM8" i="5"/>
  <c r="CE3" i="7" s="1"/>
  <c r="DW3" i="7" s="1"/>
  <c r="EM7" i="5"/>
  <c r="CE2" i="7" s="1"/>
  <c r="EM14" i="5"/>
  <c r="CE9" i="7" s="1"/>
  <c r="EM9" i="5"/>
  <c r="CE4" i="7" s="1"/>
  <c r="DW4" i="7" s="1"/>
  <c r="FI8" i="5"/>
  <c r="EY3" i="7" s="1"/>
  <c r="FI7" i="5"/>
  <c r="EY2" i="7" s="1"/>
  <c r="GJ2" i="7" s="1"/>
  <c r="FI11" i="5"/>
  <c r="EY6" i="7" s="1"/>
  <c r="Q7" i="5"/>
  <c r="HL2" i="7" s="1"/>
  <c r="CC7" i="5"/>
  <c r="JQ2" i="7" s="1"/>
  <c r="EL7" i="5"/>
  <c r="CB2" i="7" s="1"/>
  <c r="CE9" i="5"/>
  <c r="IK4" i="7" s="1"/>
  <c r="DQ9" i="5"/>
  <c r="BU4" i="7" s="1"/>
  <c r="DP4" i="7" s="1"/>
  <c r="AL10" i="5"/>
  <c r="EM10" i="5"/>
  <c r="CE5" i="7" s="1"/>
  <c r="AJ11" i="5"/>
  <c r="BH12" i="5"/>
  <c r="JJ7" i="7" s="1"/>
  <c r="FI12" i="5"/>
  <c r="EY7" i="7" s="1"/>
  <c r="BF13" i="5"/>
  <c r="IP8" i="7" s="1"/>
  <c r="DT13" i="5"/>
  <c r="CD8" i="7" s="1"/>
  <c r="DV8" i="7" s="1"/>
  <c r="Q14" i="5"/>
  <c r="HL9" i="7" s="1"/>
  <c r="CE14" i="5"/>
  <c r="IK9" i="7" s="1"/>
  <c r="DT9" i="7"/>
  <c r="L7" i="5"/>
  <c r="HP2" i="7" s="1"/>
  <c r="L14" i="5"/>
  <c r="HP9" i="7" s="1"/>
  <c r="L9" i="5"/>
  <c r="HP4" i="7" s="1"/>
  <c r="L12" i="5"/>
  <c r="HP7" i="7" s="1"/>
  <c r="CD7" i="5"/>
  <c r="JW2" i="7" s="1"/>
  <c r="A3" i="6"/>
  <c r="B3" i="7"/>
  <c r="W3" i="7"/>
  <c r="CS8" i="5"/>
  <c r="BE3" i="7" s="1"/>
  <c r="AM10" i="5"/>
  <c r="AK11" i="5"/>
  <c r="CY11" i="5"/>
  <c r="BW6" i="7" s="1"/>
  <c r="DR6" i="7" s="1"/>
  <c r="EM11" i="5"/>
  <c r="CE6" i="7" s="1"/>
  <c r="DW6" i="7" s="1"/>
  <c r="BI12" i="5"/>
  <c r="IZ7" i="7" s="1"/>
  <c r="DU13" i="5"/>
  <c r="CG8" i="7" s="1"/>
  <c r="BA14" i="5"/>
  <c r="IJ9" i="7" s="1"/>
  <c r="DT14" i="5"/>
  <c r="CD9" i="7" s="1"/>
  <c r="EK10" i="5"/>
  <c r="BY5" i="7" s="1"/>
  <c r="DS5" i="7" s="1"/>
  <c r="EK9" i="5"/>
  <c r="BY4" i="7" s="1"/>
  <c r="EK7" i="5"/>
  <c r="BY2" i="7" s="1"/>
  <c r="EK11" i="5"/>
  <c r="BY6" i="7" s="1"/>
  <c r="DS6" i="7" s="1"/>
  <c r="EK14" i="5"/>
  <c r="BY9" i="7" s="1"/>
  <c r="DS9" i="7" s="1"/>
  <c r="AE8" i="5"/>
  <c r="HG3" i="7" s="1"/>
  <c r="FG8" i="5"/>
  <c r="FM3" i="7" s="1"/>
  <c r="GF3" i="7" s="1"/>
  <c r="JR6" i="7"/>
  <c r="IR9" i="7"/>
  <c r="J10" i="5"/>
  <c r="AM11" i="5"/>
  <c r="DA11" i="5"/>
  <c r="CC6" i="7" s="1"/>
  <c r="CY12" i="5"/>
  <c r="BW7" i="7" s="1"/>
  <c r="FL12" i="5"/>
  <c r="FH7" i="7" s="1"/>
  <c r="DW13" i="5"/>
  <c r="CM8" i="7" s="1"/>
  <c r="EC8" i="7" s="1"/>
  <c r="BC14" i="5"/>
  <c r="DV14" i="5"/>
  <c r="CJ9" i="7" s="1"/>
  <c r="DZ9" i="7" s="1"/>
  <c r="HO9" i="7"/>
  <c r="DO10" i="5"/>
  <c r="BO5" i="7" s="1"/>
  <c r="DO9" i="5"/>
  <c r="BO4" i="7" s="1"/>
  <c r="DL4" i="7" s="1"/>
  <c r="DO7" i="5"/>
  <c r="BO2" i="7" s="1"/>
  <c r="DO14" i="5"/>
  <c r="BO9" i="7" s="1"/>
  <c r="DL9" i="7" s="1"/>
  <c r="AE12" i="5"/>
  <c r="HG7" i="7" s="1"/>
  <c r="BB14" i="5"/>
  <c r="ID9" i="7" s="1"/>
  <c r="EP14" i="5"/>
  <c r="CN9" i="7" s="1"/>
  <c r="EP9" i="5"/>
  <c r="CN4" i="7" s="1"/>
  <c r="K81" i="8" s="1"/>
  <c r="EP12" i="5"/>
  <c r="CN7" i="7" s="1"/>
  <c r="EC7" i="7" s="1"/>
  <c r="AK9" i="5"/>
  <c r="AK14" i="5"/>
  <c r="AK7" i="5"/>
  <c r="CC13" i="5"/>
  <c r="JQ8" i="7" s="1"/>
  <c r="CC8" i="5"/>
  <c r="JQ3" i="7" s="1"/>
  <c r="CC11" i="5"/>
  <c r="JQ6" i="7" s="1"/>
  <c r="FM14" i="5"/>
  <c r="FK9" i="7" s="1"/>
  <c r="FM9" i="5"/>
  <c r="FK4" i="7" s="1"/>
  <c r="CY8" i="5"/>
  <c r="BW3" i="7" s="1"/>
  <c r="DR3" i="7" s="1"/>
  <c r="DU9" i="5"/>
  <c r="CG4" i="7" s="1"/>
  <c r="F74" i="8" s="1"/>
  <c r="K10" i="5"/>
  <c r="HB5" i="7" s="1"/>
  <c r="EQ10" i="5"/>
  <c r="CQ5" i="7" s="1"/>
  <c r="I11" i="5"/>
  <c r="EP11" i="5"/>
  <c r="CN6" i="7" s="1"/>
  <c r="EC6" i="7" s="1"/>
  <c r="AG12" i="5"/>
  <c r="FM12" i="5"/>
  <c r="FK7" i="7" s="1"/>
  <c r="AE13" i="5"/>
  <c r="HG8" i="7" s="1"/>
  <c r="CS13" i="5"/>
  <c r="BE8" i="7" s="1"/>
  <c r="DW14" i="5"/>
  <c r="CM9" i="7" s="1"/>
  <c r="EB9" i="7" s="1"/>
  <c r="HW2" i="7"/>
  <c r="BW10" i="5"/>
  <c r="II5" i="7" s="1"/>
  <c r="BW9" i="5"/>
  <c r="II4" i="7" s="1"/>
  <c r="BW7" i="5"/>
  <c r="II2" i="7" s="1"/>
  <c r="AF9" i="5"/>
  <c r="HU4" i="7" s="1"/>
  <c r="AF8" i="5"/>
  <c r="HU3" i="7" s="1"/>
  <c r="AF11" i="5"/>
  <c r="HU6" i="7" s="1"/>
  <c r="CT9" i="5"/>
  <c r="BH4" i="7" s="1"/>
  <c r="CT8" i="5"/>
  <c r="BH3" i="7" s="1"/>
  <c r="CT12" i="5"/>
  <c r="BH7" i="7" s="1"/>
  <c r="CT10" i="5"/>
  <c r="BH5" i="7" s="1"/>
  <c r="DH5" i="7" s="1"/>
  <c r="DX9" i="7"/>
  <c r="CB8" i="5"/>
  <c r="IW3" i="7" s="1"/>
  <c r="CB13" i="5"/>
  <c r="IW8" i="7" s="1"/>
  <c r="CX10" i="5"/>
  <c r="BT5" i="7" s="1"/>
  <c r="DP5" i="7" s="1"/>
  <c r="CX13" i="5"/>
  <c r="BT8" i="7" s="1"/>
  <c r="DP8" i="7" s="1"/>
  <c r="CX8" i="5"/>
  <c r="BT3" i="7" s="1"/>
  <c r="I61" i="8" s="1"/>
  <c r="DT7" i="5"/>
  <c r="CD2" i="7" s="1"/>
  <c r="DT12" i="5"/>
  <c r="CD7" i="7" s="1"/>
  <c r="DT10" i="5"/>
  <c r="CD5" i="7" s="1"/>
  <c r="DV5" i="7" s="1"/>
  <c r="O7" i="5"/>
  <c r="HQ2" i="7" s="1"/>
  <c r="O12" i="5"/>
  <c r="HQ7" i="7" s="1"/>
  <c r="BG11" i="5"/>
  <c r="BG14" i="5"/>
  <c r="BG9" i="5"/>
  <c r="P7" i="5"/>
  <c r="HX2" i="7" s="1"/>
  <c r="P12" i="5"/>
  <c r="HX7" i="7" s="1"/>
  <c r="P10" i="5"/>
  <c r="HX5" i="7" s="1"/>
  <c r="AL14" i="5"/>
  <c r="AL9" i="5"/>
  <c r="AL12" i="5"/>
  <c r="CZ13" i="5"/>
  <c r="BZ8" i="7" s="1"/>
  <c r="DT8" i="7" s="1"/>
  <c r="CZ8" i="5"/>
  <c r="BZ3" i="7" s="1"/>
  <c r="J67" i="8" s="1"/>
  <c r="FN14" i="5"/>
  <c r="FN9" i="7" s="1"/>
  <c r="FN9" i="5"/>
  <c r="FN4" i="7" s="1"/>
  <c r="BB7" i="5"/>
  <c r="ID2" i="7" s="1"/>
  <c r="DP7" i="5"/>
  <c r="BR2" i="7" s="1"/>
  <c r="AM8" i="5"/>
  <c r="DA8" i="5"/>
  <c r="CC3" i="7" s="1"/>
  <c r="BF9" i="5"/>
  <c r="IP4" i="7" s="1"/>
  <c r="DV9" i="5"/>
  <c r="CJ4" i="7" s="1"/>
  <c r="E77" i="8" s="1"/>
  <c r="CE10" i="5"/>
  <c r="IK5" i="7" s="1"/>
  <c r="ER10" i="5"/>
  <c r="CT5" i="7" s="1"/>
  <c r="EG5" i="7" s="1"/>
  <c r="J11" i="5"/>
  <c r="BX11" i="5"/>
  <c r="JU6" i="7" s="1"/>
  <c r="EQ11" i="5"/>
  <c r="CQ6" i="7" s="1"/>
  <c r="EE6" i="7" s="1"/>
  <c r="DA12" i="5"/>
  <c r="CC7" i="7" s="1"/>
  <c r="FN12" i="5"/>
  <c r="FN7" i="7" s="1"/>
  <c r="AF13" i="5"/>
  <c r="HU8" i="7" s="1"/>
  <c r="CT13" i="5"/>
  <c r="BH8" i="7" s="1"/>
  <c r="DH8" i="7" s="1"/>
  <c r="FL13" i="5"/>
  <c r="FH8" i="7" s="1"/>
  <c r="CS14" i="5"/>
  <c r="BE9" i="7" s="1"/>
  <c r="FG14" i="5"/>
  <c r="FM9" i="7" s="1"/>
  <c r="GF9" i="7" s="1"/>
  <c r="DP9" i="7"/>
  <c r="JL5" i="7"/>
  <c r="EL10" i="5"/>
  <c r="CB5" i="7" s="1"/>
  <c r="JB9" i="7"/>
  <c r="BI14" i="5"/>
  <c r="IZ9" i="7" s="1"/>
  <c r="BI9" i="5"/>
  <c r="IZ4" i="7" s="1"/>
  <c r="ES7" i="5"/>
  <c r="CW2" i="7" s="1"/>
  <c r="ES12" i="5"/>
  <c r="CW7" i="7" s="1"/>
  <c r="FO14" i="5"/>
  <c r="FO9" i="5"/>
  <c r="FO7" i="5"/>
  <c r="BH9" i="5"/>
  <c r="JJ4" i="7" s="1"/>
  <c r="DW9" i="5"/>
  <c r="CM4" i="7" s="1"/>
  <c r="EB4" i="7" s="1"/>
  <c r="ES10" i="5"/>
  <c r="CW5" i="7" s="1"/>
  <c r="K11" i="5"/>
  <c r="HB6" i="7" s="1"/>
  <c r="BY11" i="5"/>
  <c r="ER11" i="5"/>
  <c r="CT6" i="7" s="1"/>
  <c r="JB7" i="7"/>
  <c r="BW12" i="5"/>
  <c r="II7" i="7" s="1"/>
  <c r="FO12" i="5"/>
  <c r="AG13" i="5"/>
  <c r="CU13" i="5"/>
  <c r="BK8" i="7" s="1"/>
  <c r="DJ8" i="7" s="1"/>
  <c r="FM13" i="5"/>
  <c r="FK8" i="7" s="1"/>
  <c r="BF14" i="5"/>
  <c r="IP9" i="7" s="1"/>
  <c r="CT14" i="5"/>
  <c r="BH9" i="7" s="1"/>
  <c r="GJ9" i="7"/>
  <c r="H11" i="5"/>
  <c r="H10" i="5"/>
  <c r="H8" i="5"/>
  <c r="AD11" i="5"/>
  <c r="HV6" i="7" s="1"/>
  <c r="AD10" i="5"/>
  <c r="HV5" i="7" s="1"/>
  <c r="AD8" i="5"/>
  <c r="HV3" i="7" s="1"/>
  <c r="AZ11" i="5"/>
  <c r="JV6" i="7" s="1"/>
  <c r="AZ10" i="5"/>
  <c r="JV5" i="7" s="1"/>
  <c r="AZ8" i="5"/>
  <c r="JV3" i="7" s="1"/>
  <c r="BV11" i="5"/>
  <c r="JO6" i="7" s="1"/>
  <c r="BV10" i="5"/>
  <c r="JO5" i="7" s="1"/>
  <c r="BV8" i="5"/>
  <c r="JO3" i="7" s="1"/>
  <c r="CR11" i="5"/>
  <c r="BB6" i="7" s="1"/>
  <c r="CR10" i="5"/>
  <c r="BB5" i="7" s="1"/>
  <c r="CR8" i="5"/>
  <c r="BB3" i="7" s="1"/>
  <c r="DN11" i="5"/>
  <c r="BL6" i="7" s="1"/>
  <c r="DJ6" i="7" s="1"/>
  <c r="DN10" i="5"/>
  <c r="BL5" i="7" s="1"/>
  <c r="DJ5" i="7" s="1"/>
  <c r="DN8" i="5"/>
  <c r="BL3" i="7" s="1"/>
  <c r="EJ11" i="5"/>
  <c r="BV6" i="7" s="1"/>
  <c r="EJ10" i="5"/>
  <c r="BV5" i="7" s="1"/>
  <c r="DQ5" i="7" s="1"/>
  <c r="EJ8" i="5"/>
  <c r="BV3" i="7" s="1"/>
  <c r="DQ3" i="7" s="1"/>
  <c r="H7" i="5"/>
  <c r="DN7" i="5"/>
  <c r="BL2" i="7" s="1"/>
  <c r="BZ8" i="5"/>
  <c r="IO3" i="7" s="1"/>
  <c r="AI9" i="5"/>
  <c r="CV10" i="5"/>
  <c r="BN5" i="7" s="1"/>
  <c r="E55" i="8" s="1"/>
  <c r="CR12" i="5"/>
  <c r="BB7" i="7" s="1"/>
  <c r="H43" i="8" s="1"/>
  <c r="DR12" i="5"/>
  <c r="BX7" i="7" s="1"/>
  <c r="DR7" i="7" s="1"/>
  <c r="AZ13" i="5"/>
  <c r="JV8" i="7" s="1"/>
  <c r="BZ13" i="5"/>
  <c r="IO8" i="7" s="1"/>
  <c r="DT7" i="7"/>
  <c r="DN14" i="5"/>
  <c r="BL9" i="7" s="1"/>
  <c r="EN14" i="5"/>
  <c r="CH9" i="7" s="1"/>
  <c r="DY9" i="7" s="1"/>
  <c r="DR2" i="7"/>
  <c r="DT2" i="7"/>
  <c r="DN9" i="5"/>
  <c r="BL4" i="7" s="1"/>
  <c r="DJ4" i="7" s="1"/>
  <c r="AH11" i="5"/>
  <c r="FF8" i="5"/>
  <c r="FJ3" i="7" s="1"/>
  <c r="GE3" i="7" s="1"/>
  <c r="FH8" i="5"/>
  <c r="EV3" i="7" s="1"/>
  <c r="FF10" i="5"/>
  <c r="FJ5" i="7" s="1"/>
  <c r="F78" i="8" l="1"/>
  <c r="DM7" i="7"/>
  <c r="AG5" i="6"/>
  <c r="H48" i="8"/>
  <c r="DI7" i="7"/>
  <c r="H81" i="8"/>
  <c r="C68" i="8"/>
  <c r="KB4" i="7"/>
  <c r="T9" i="7"/>
  <c r="I78" i="8"/>
  <c r="I75" i="8"/>
  <c r="KF5" i="7"/>
  <c r="DB8" i="7"/>
  <c r="GH6" i="7"/>
  <c r="FS6" i="7" s="1"/>
  <c r="EH8" i="7"/>
  <c r="K5" i="7"/>
  <c r="AE5" i="7" s="1"/>
  <c r="I81" i="8"/>
  <c r="DL6" i="7"/>
  <c r="GC8" i="7"/>
  <c r="J64" i="8"/>
  <c r="E67" i="8"/>
  <c r="T2" i="7"/>
  <c r="E12" i="8" s="1"/>
  <c r="GC5" i="7"/>
  <c r="F86" i="8"/>
  <c r="F68" i="8"/>
  <c r="DJ3" i="7"/>
  <c r="DU4" i="7"/>
  <c r="D75" i="8"/>
  <c r="GE5" i="7"/>
  <c r="D58" i="8"/>
  <c r="DE3" i="7"/>
  <c r="F64" i="8"/>
  <c r="I67" i="8"/>
  <c r="GC2" i="7"/>
  <c r="G86" i="8"/>
  <c r="J68" i="8"/>
  <c r="DU5" i="7"/>
  <c r="W6" i="7"/>
  <c r="AM6" i="7" s="1"/>
  <c r="J75" i="8"/>
  <c r="GF6" i="7"/>
  <c r="BP5" i="6"/>
  <c r="GY5" i="7" s="1"/>
  <c r="E58" i="8"/>
  <c r="DE8" i="7"/>
  <c r="H64" i="8"/>
  <c r="Q8" i="7"/>
  <c r="V8" i="7"/>
  <c r="AM8" i="7" s="1"/>
  <c r="GC6" i="7"/>
  <c r="H86" i="8"/>
  <c r="ER2" i="7"/>
  <c r="KF2" i="7"/>
  <c r="ER7" i="7"/>
  <c r="KF7" i="7"/>
  <c r="T3" i="7"/>
  <c r="GJ6" i="7"/>
  <c r="E64" i="8"/>
  <c r="F51" i="8"/>
  <c r="DI6" i="7"/>
  <c r="D87" i="8"/>
  <c r="G78" i="8"/>
  <c r="G75" i="8"/>
  <c r="F75" i="8"/>
  <c r="E43" i="8"/>
  <c r="P2" i="7"/>
  <c r="BC5" i="6"/>
  <c r="DO9" i="7"/>
  <c r="I68" i="8"/>
  <c r="D42" i="8"/>
  <c r="GH9" i="7"/>
  <c r="N8" i="7"/>
  <c r="G64" i="8"/>
  <c r="J77" i="8"/>
  <c r="DU7" i="7"/>
  <c r="AB5" i="6"/>
  <c r="DY5" i="7"/>
  <c r="AR5" i="6"/>
  <c r="GT5" i="7" s="1"/>
  <c r="GG2" i="7" a="1"/>
  <c r="GG2" i="7" s="1"/>
  <c r="D68" i="8"/>
  <c r="W9" i="7"/>
  <c r="C75" i="8"/>
  <c r="GF7" i="7"/>
  <c r="G68" i="8"/>
  <c r="GB3" i="7"/>
  <c r="DN4" i="7"/>
  <c r="CZ9" i="7"/>
  <c r="I64" i="8"/>
  <c r="K77" i="8"/>
  <c r="F70" i="8"/>
  <c r="DQ6" i="7"/>
  <c r="GF8" i="7"/>
  <c r="F67" i="8"/>
  <c r="J86" i="8"/>
  <c r="D67" i="8"/>
  <c r="DS4" i="7"/>
  <c r="D49" i="8"/>
  <c r="K84" i="8"/>
  <c r="DV9" i="7"/>
  <c r="E74" i="8"/>
  <c r="Z7" i="7"/>
  <c r="DC7" i="7"/>
  <c r="E42" i="8"/>
  <c r="EN5" i="7"/>
  <c r="S3" i="7"/>
  <c r="DK4" i="7"/>
  <c r="K61" i="8"/>
  <c r="C77" i="8"/>
  <c r="Y4" i="7"/>
  <c r="EK8" i="7"/>
  <c r="C43" i="8"/>
  <c r="K75" i="8"/>
  <c r="EI9" i="7"/>
  <c r="C64" i="8"/>
  <c r="DC6" i="7"/>
  <c r="G42" i="8"/>
  <c r="CZ3" i="7"/>
  <c r="C61" i="8"/>
  <c r="AA9" i="7"/>
  <c r="Z8" i="7"/>
  <c r="DS8" i="7"/>
  <c r="EI7" i="7"/>
  <c r="C87" i="8"/>
  <c r="DT6" i="7"/>
  <c r="B104" i="8" s="1"/>
  <c r="DQ7" i="7"/>
  <c r="DB3" i="7"/>
  <c r="N2" i="7"/>
  <c r="AG2" i="7" s="1"/>
  <c r="GJ7" i="7"/>
  <c r="C84" i="8"/>
  <c r="EF8" i="7"/>
  <c r="ED8" i="7"/>
  <c r="CZ8" i="7"/>
  <c r="G61" i="8"/>
  <c r="GA4" i="7"/>
  <c r="GE2" i="7"/>
  <c r="K64" i="8"/>
  <c r="DE9" i="7"/>
  <c r="Q9" i="7"/>
  <c r="DJ9" i="7"/>
  <c r="E70" i="8"/>
  <c r="D84" i="8"/>
  <c r="N7" i="7"/>
  <c r="D61" i="8"/>
  <c r="E81" i="8"/>
  <c r="EH6" i="7"/>
  <c r="AE5" i="6"/>
  <c r="K78" i="8"/>
  <c r="E68" i="8"/>
  <c r="K68" i="8"/>
  <c r="F55" i="8"/>
  <c r="G55" i="8"/>
  <c r="H55" i="8"/>
  <c r="D64" i="8"/>
  <c r="H49" i="8"/>
  <c r="J84" i="8"/>
  <c r="Q2" i="7"/>
  <c r="AI2" i="7" s="1"/>
  <c r="G74" i="8"/>
  <c r="EI5" i="7"/>
  <c r="EA2" i="7"/>
  <c r="H74" i="8"/>
  <c r="DX8" i="7"/>
  <c r="DP3" i="7"/>
  <c r="C78" i="8"/>
  <c r="I74" i="8"/>
  <c r="DH9" i="7"/>
  <c r="DA3" i="7"/>
  <c r="E61" i="8"/>
  <c r="GB5" i="7"/>
  <c r="J49" i="8"/>
  <c r="K34" i="8"/>
  <c r="G34" i="8"/>
  <c r="F34" i="8"/>
  <c r="E34" i="8"/>
  <c r="I34" i="8"/>
  <c r="J34" i="8"/>
  <c r="H34" i="8"/>
  <c r="D34" i="8"/>
  <c r="C34" i="8"/>
  <c r="D82" i="8"/>
  <c r="C82" i="8"/>
  <c r="K82" i="8"/>
  <c r="J82" i="8"/>
  <c r="H82" i="8"/>
  <c r="I82" i="8"/>
  <c r="G82" i="8"/>
  <c r="F82" i="8"/>
  <c r="E82" i="8"/>
  <c r="I69" i="8"/>
  <c r="H69" i="8"/>
  <c r="F69" i="8"/>
  <c r="D69" i="8"/>
  <c r="K69" i="8"/>
  <c r="J69" i="8"/>
  <c r="G69" i="8"/>
  <c r="E69" i="8"/>
  <c r="C69" i="8"/>
  <c r="DU2" i="7"/>
  <c r="G43" i="8"/>
  <c r="IA6" i="7"/>
  <c r="L6" i="7"/>
  <c r="BC6" i="6"/>
  <c r="BA6" i="6"/>
  <c r="BB6" i="6"/>
  <c r="AZ6" i="6"/>
  <c r="AY6" i="6"/>
  <c r="AX6" i="6"/>
  <c r="AV6" i="6"/>
  <c r="BN6" i="6"/>
  <c r="GU6" i="7" s="1"/>
  <c r="BM6" i="6"/>
  <c r="AU6" i="6"/>
  <c r="AT6" i="6"/>
  <c r="AW6" i="6"/>
  <c r="H51" i="8"/>
  <c r="I46" i="8"/>
  <c r="H46" i="8"/>
  <c r="G46" i="8"/>
  <c r="J46" i="8"/>
  <c r="E46" i="8"/>
  <c r="F46" i="8"/>
  <c r="D46" i="8"/>
  <c r="C46" i="8"/>
  <c r="K46" i="8"/>
  <c r="AD9" i="7"/>
  <c r="JS9" i="7"/>
  <c r="AC6" i="7"/>
  <c r="HO5" i="7"/>
  <c r="V5" i="7"/>
  <c r="DL5" i="7"/>
  <c r="K55" i="8"/>
  <c r="H89" i="8"/>
  <c r="G89" i="8"/>
  <c r="F89" i="8"/>
  <c r="E89" i="8"/>
  <c r="D89" i="8"/>
  <c r="C89" i="8"/>
  <c r="K89" i="8"/>
  <c r="J89" i="8"/>
  <c r="EH2" i="7"/>
  <c r="I89" i="8"/>
  <c r="K38" i="8"/>
  <c r="J38" i="8"/>
  <c r="H38" i="8"/>
  <c r="CZ2" i="7"/>
  <c r="I38" i="8"/>
  <c r="G38" i="8"/>
  <c r="F38" i="8"/>
  <c r="D38" i="8"/>
  <c r="E38" i="8"/>
  <c r="C38" i="8"/>
  <c r="IM3" i="7"/>
  <c r="R3" i="7"/>
  <c r="KF6" i="7"/>
  <c r="ER6" i="7"/>
  <c r="ED9" i="7"/>
  <c r="DQ4" i="7"/>
  <c r="DH4" i="7"/>
  <c r="J37" i="8"/>
  <c r="H37" i="8"/>
  <c r="F37" i="8"/>
  <c r="E37" i="8"/>
  <c r="D37" i="8"/>
  <c r="C37" i="8"/>
  <c r="K37" i="8"/>
  <c r="I37" i="8"/>
  <c r="G37" i="8"/>
  <c r="EM8" i="7"/>
  <c r="KA8" i="7"/>
  <c r="IM7" i="7"/>
  <c r="R7" i="7"/>
  <c r="DE5" i="7"/>
  <c r="CZ4" i="7"/>
  <c r="AU5" i="6"/>
  <c r="EB8" i="7"/>
  <c r="B108" i="8" s="1"/>
  <c r="EM3" i="7"/>
  <c r="KA3" i="7"/>
  <c r="C45" i="8"/>
  <c r="KA5" i="7"/>
  <c r="EM5" i="7"/>
  <c r="C65" i="8"/>
  <c r="IS6" i="7"/>
  <c r="U6" i="7"/>
  <c r="AL6" i="7" s="1"/>
  <c r="EQ6" i="7"/>
  <c r="KE6" i="7"/>
  <c r="KA2" i="7"/>
  <c r="EM2" i="7"/>
  <c r="J80" i="8"/>
  <c r="DV3" i="7"/>
  <c r="HF5" i="7"/>
  <c r="P5" i="7"/>
  <c r="O6" i="7"/>
  <c r="IG6" i="7"/>
  <c r="DF4" i="7"/>
  <c r="KA7" i="7"/>
  <c r="EM7" i="7"/>
  <c r="CX9" i="7"/>
  <c r="D8" i="6"/>
  <c r="G70" i="8"/>
  <c r="GA3" i="7"/>
  <c r="AC3" i="7"/>
  <c r="DB4" i="7"/>
  <c r="J81" i="8"/>
  <c r="I79" i="8"/>
  <c r="H79" i="8"/>
  <c r="G79" i="8"/>
  <c r="F79" i="8"/>
  <c r="D79" i="8"/>
  <c r="C79" i="8"/>
  <c r="J79" i="8"/>
  <c r="E79" i="8"/>
  <c r="K79" i="8"/>
  <c r="KC9" i="7"/>
  <c r="EO9" i="7"/>
  <c r="K45" i="8"/>
  <c r="H65" i="8"/>
  <c r="IL3" i="7"/>
  <c r="Q3" i="7"/>
  <c r="D63" i="8"/>
  <c r="Q5" i="7"/>
  <c r="AI5" i="7" s="1"/>
  <c r="IL5" i="7"/>
  <c r="E62" i="8"/>
  <c r="C62" i="8"/>
  <c r="K62" i="8"/>
  <c r="I62" i="8"/>
  <c r="J62" i="8"/>
  <c r="H62" i="8"/>
  <c r="G62" i="8"/>
  <c r="F62" i="8"/>
  <c r="DP2" i="7"/>
  <c r="D62" i="8"/>
  <c r="DQ2" i="7"/>
  <c r="EE7" i="7"/>
  <c r="HC9" i="7"/>
  <c r="M9" i="7"/>
  <c r="H9" i="6"/>
  <c r="J9" i="6"/>
  <c r="I9" i="6"/>
  <c r="G9" i="6"/>
  <c r="F9" i="6"/>
  <c r="D9" i="6"/>
  <c r="V9" i="6"/>
  <c r="GS9" i="7" s="1"/>
  <c r="U9" i="6"/>
  <c r="K9" i="6"/>
  <c r="E9" i="6"/>
  <c r="C9" i="6"/>
  <c r="B9" i="6"/>
  <c r="U5" i="7"/>
  <c r="IS5" i="7"/>
  <c r="K80" i="8"/>
  <c r="E8" i="7"/>
  <c r="GG8" i="7" a="1"/>
  <c r="GG8" i="7" s="1"/>
  <c r="EH5" i="7"/>
  <c r="GC3" i="7"/>
  <c r="HF7" i="7"/>
  <c r="P7" i="7"/>
  <c r="GD6" i="7"/>
  <c r="O8" i="7"/>
  <c r="AH8" i="7" s="1"/>
  <c r="IG8" i="7"/>
  <c r="DF3" i="7"/>
  <c r="EM9" i="7"/>
  <c r="KA9" i="7"/>
  <c r="CY9" i="7"/>
  <c r="F8" i="6"/>
  <c r="IN7" i="7"/>
  <c r="Q7" i="7"/>
  <c r="C70" i="8"/>
  <c r="GA7" i="7"/>
  <c r="DB6" i="7"/>
  <c r="JX7" i="7"/>
  <c r="EJ7" i="7"/>
  <c r="K67" i="8"/>
  <c r="EO6" i="7"/>
  <c r="KC6" i="7"/>
  <c r="D45" i="8"/>
  <c r="AT5" i="6"/>
  <c r="F39" i="8"/>
  <c r="GF4" i="7"/>
  <c r="K76" i="8"/>
  <c r="I76" i="8"/>
  <c r="H76" i="8"/>
  <c r="G76" i="8"/>
  <c r="C76" i="8"/>
  <c r="F76" i="8"/>
  <c r="E76" i="8"/>
  <c r="D76" i="8"/>
  <c r="J76" i="8"/>
  <c r="K56" i="8"/>
  <c r="G56" i="8"/>
  <c r="F56" i="8"/>
  <c r="E56" i="8"/>
  <c r="J56" i="8"/>
  <c r="H56" i="8"/>
  <c r="I56" i="8"/>
  <c r="D56" i="8"/>
  <c r="C56" i="8"/>
  <c r="DL2" i="7"/>
  <c r="K44" i="8"/>
  <c r="I44" i="8"/>
  <c r="E44" i="8"/>
  <c r="D44" i="8"/>
  <c r="C44" i="8"/>
  <c r="J44" i="8"/>
  <c r="H44" i="8"/>
  <c r="G44" i="8"/>
  <c r="F44" i="8"/>
  <c r="DD2" i="7"/>
  <c r="K36" i="8"/>
  <c r="J36" i="8"/>
  <c r="I36" i="8"/>
  <c r="G36" i="8"/>
  <c r="D36" i="8"/>
  <c r="C36" i="8"/>
  <c r="E36" i="8"/>
  <c r="CY2" i="7"/>
  <c r="F36" i="8"/>
  <c r="H36" i="8"/>
  <c r="D80" i="8"/>
  <c r="GZ5" i="7"/>
  <c r="J5" i="7"/>
  <c r="DS7" i="7"/>
  <c r="EF6" i="7"/>
  <c r="JM7" i="7"/>
  <c r="AA7" i="7"/>
  <c r="JX3" i="7"/>
  <c r="EJ3" i="7"/>
  <c r="AA2" i="7"/>
  <c r="JM2" i="7"/>
  <c r="G80" i="8"/>
  <c r="EM6" i="7"/>
  <c r="KA6" i="7"/>
  <c r="E8" i="6"/>
  <c r="EG7" i="7"/>
  <c r="IM8" i="7"/>
  <c r="R8" i="7"/>
  <c r="AJ8" i="7" s="1"/>
  <c r="DM9" i="7"/>
  <c r="K83" i="8"/>
  <c r="J83" i="8"/>
  <c r="I83" i="8"/>
  <c r="H83" i="8"/>
  <c r="F83" i="8"/>
  <c r="E83" i="8"/>
  <c r="D83" i="8"/>
  <c r="G83" i="8"/>
  <c r="C83" i="8"/>
  <c r="ED2" i="7"/>
  <c r="EE2" i="7"/>
  <c r="O3" i="7"/>
  <c r="IG3" i="7"/>
  <c r="B8" i="6"/>
  <c r="DO3" i="7"/>
  <c r="AG8" i="6"/>
  <c r="AF8" i="6"/>
  <c r="AE8" i="6"/>
  <c r="AD8" i="6"/>
  <c r="AC8" i="6"/>
  <c r="AA8" i="6"/>
  <c r="AB8" i="6"/>
  <c r="Y8" i="6"/>
  <c r="K8" i="7"/>
  <c r="AR8" i="6"/>
  <c r="GT8" i="7" s="1"/>
  <c r="AQ8" i="6"/>
  <c r="Z8" i="6"/>
  <c r="HZ8" i="7"/>
  <c r="X8" i="6"/>
  <c r="BP8" i="6"/>
  <c r="DA5" i="7"/>
  <c r="CY5" i="7"/>
  <c r="JX2" i="7"/>
  <c r="EJ2" i="7"/>
  <c r="DC5" i="7"/>
  <c r="G49" i="8"/>
  <c r="KE4" i="7"/>
  <c r="EQ4" i="7"/>
  <c r="CY3" i="7"/>
  <c r="E87" i="8"/>
  <c r="S9" i="7"/>
  <c r="AK9" i="7" s="1"/>
  <c r="HI9" i="7"/>
  <c r="V4" i="7"/>
  <c r="K6" i="6"/>
  <c r="I6" i="6"/>
  <c r="HC6" i="7"/>
  <c r="U6" i="6"/>
  <c r="V6" i="6"/>
  <c r="GS6" i="7" s="1"/>
  <c r="J6" i="6"/>
  <c r="M6" i="7"/>
  <c r="G6" i="6"/>
  <c r="C6" i="6"/>
  <c r="H6" i="6"/>
  <c r="E6" i="6"/>
  <c r="D6" i="6"/>
  <c r="F6" i="6"/>
  <c r="B6" i="6"/>
  <c r="I49" i="8"/>
  <c r="K88" i="8"/>
  <c r="J88" i="8"/>
  <c r="I88" i="8"/>
  <c r="H88" i="8"/>
  <c r="G88" i="8"/>
  <c r="E88" i="8"/>
  <c r="D88" i="8"/>
  <c r="C88" i="8"/>
  <c r="F88" i="8"/>
  <c r="U9" i="7"/>
  <c r="AL9" i="7" s="1"/>
  <c r="IS9" i="7"/>
  <c r="U4" i="7"/>
  <c r="AL4" i="7" s="1"/>
  <c r="I39" i="8"/>
  <c r="K65" i="8"/>
  <c r="DK3" i="7"/>
  <c r="EQ3" i="7"/>
  <c r="KE3" i="7"/>
  <c r="GG3" i="7" a="1"/>
  <c r="GG3" i="7" s="1"/>
  <c r="E3" i="7"/>
  <c r="HF3" i="7"/>
  <c r="P3" i="7"/>
  <c r="O9" i="7"/>
  <c r="AH9" i="7" s="1"/>
  <c r="IG9" i="7"/>
  <c r="DF8" i="7"/>
  <c r="GI4" i="7"/>
  <c r="GK4" i="7"/>
  <c r="CY7" i="7"/>
  <c r="I8" i="6"/>
  <c r="KC5" i="7"/>
  <c r="EO5" i="7"/>
  <c r="H70" i="8"/>
  <c r="H73" i="8"/>
  <c r="G73" i="8"/>
  <c r="F73" i="8"/>
  <c r="J73" i="8"/>
  <c r="K73" i="8"/>
  <c r="E73" i="8"/>
  <c r="I73" i="8"/>
  <c r="D73" i="8"/>
  <c r="C73" i="8"/>
  <c r="DB9" i="7"/>
  <c r="JX4" i="7"/>
  <c r="EJ4" i="7"/>
  <c r="G67" i="8"/>
  <c r="EP2" i="7"/>
  <c r="KD2" i="7"/>
  <c r="BB5" i="6"/>
  <c r="JD2" i="7"/>
  <c r="W2" i="7"/>
  <c r="C80" i="8"/>
  <c r="H45" i="8"/>
  <c r="HW6" i="7"/>
  <c r="AB6" i="7"/>
  <c r="HZ3" i="7"/>
  <c r="AR3" i="6"/>
  <c r="GT3" i="7" s="1"/>
  <c r="AQ3" i="6"/>
  <c r="AG3" i="6"/>
  <c r="AF3" i="6"/>
  <c r="AE3" i="6"/>
  <c r="AC3" i="6"/>
  <c r="K3" i="7"/>
  <c r="AD3" i="6"/>
  <c r="AB3" i="6"/>
  <c r="AA3" i="6"/>
  <c r="Z3" i="6"/>
  <c r="Y3" i="6"/>
  <c r="X3" i="6"/>
  <c r="CX8" i="7"/>
  <c r="K48" i="8"/>
  <c r="E45" i="8"/>
  <c r="D72" i="8"/>
  <c r="C72" i="8"/>
  <c r="E72" i="8"/>
  <c r="J72" i="8"/>
  <c r="DW2" i="7"/>
  <c r="K72" i="8"/>
  <c r="I72" i="8"/>
  <c r="H72" i="8"/>
  <c r="G72" i="8"/>
  <c r="F72" i="8"/>
  <c r="M5" i="7"/>
  <c r="HC5" i="7"/>
  <c r="I5" i="6"/>
  <c r="H5" i="6"/>
  <c r="G5" i="6"/>
  <c r="F5" i="6"/>
  <c r="D5" i="6"/>
  <c r="V5" i="6"/>
  <c r="GS5" i="7" s="1"/>
  <c r="U5" i="6"/>
  <c r="K5" i="6"/>
  <c r="J5" i="6"/>
  <c r="C5" i="6"/>
  <c r="E5" i="6"/>
  <c r="B5" i="6"/>
  <c r="AV5" i="6"/>
  <c r="JL2" i="7"/>
  <c r="Z2" i="7"/>
  <c r="DC3" i="7"/>
  <c r="DG9" i="7"/>
  <c r="E97" i="8" s="1"/>
  <c r="D65" i="8"/>
  <c r="HW5" i="7"/>
  <c r="AB5" i="7"/>
  <c r="DC8" i="7"/>
  <c r="GD2" i="7"/>
  <c r="H8" i="6"/>
  <c r="BA5" i="6"/>
  <c r="EE5" i="7"/>
  <c r="F87" i="8"/>
  <c r="I63" i="8"/>
  <c r="AB3" i="7"/>
  <c r="HW3" i="7"/>
  <c r="HI2" i="7"/>
  <c r="S2" i="7"/>
  <c r="DO7" i="7"/>
  <c r="M7" i="7"/>
  <c r="AG7" i="7" s="1"/>
  <c r="K7" i="6"/>
  <c r="J7" i="6"/>
  <c r="I7" i="6"/>
  <c r="H7" i="6"/>
  <c r="F7" i="6"/>
  <c r="G7" i="6"/>
  <c r="V7" i="6"/>
  <c r="GS7" i="7" s="1"/>
  <c r="HC7" i="7"/>
  <c r="B7" i="6"/>
  <c r="U7" i="6"/>
  <c r="E7" i="6"/>
  <c r="D7" i="6"/>
  <c r="C7" i="6"/>
  <c r="E49" i="8"/>
  <c r="IA7" i="7"/>
  <c r="L7" i="7"/>
  <c r="BC7" i="6"/>
  <c r="BB7" i="6"/>
  <c r="BA7" i="6"/>
  <c r="AZ7" i="6"/>
  <c r="AX7" i="6"/>
  <c r="BN7" i="6"/>
  <c r="GU7" i="7" s="1"/>
  <c r="BM7" i="6"/>
  <c r="AY7" i="6"/>
  <c r="AW7" i="6"/>
  <c r="AT7" i="6"/>
  <c r="AV7" i="6"/>
  <c r="AU7" i="6"/>
  <c r="DA2" i="7"/>
  <c r="EQ5" i="7"/>
  <c r="KE5" i="7"/>
  <c r="E6" i="7"/>
  <c r="GG6" i="7" a="1"/>
  <c r="GG6" i="7" s="1"/>
  <c r="HF6" i="7"/>
  <c r="P6" i="7"/>
  <c r="GH8" i="7"/>
  <c r="DT3" i="7"/>
  <c r="GI7" i="7"/>
  <c r="GK7" i="7"/>
  <c r="CY6" i="7"/>
  <c r="K8" i="6"/>
  <c r="DZ2" i="7"/>
  <c r="I70" i="8"/>
  <c r="Y3" i="7"/>
  <c r="HT3" i="7"/>
  <c r="JX5" i="7"/>
  <c r="EJ5" i="7"/>
  <c r="H67" i="8"/>
  <c r="EP4" i="7"/>
  <c r="KD4" i="7"/>
  <c r="JR9" i="7"/>
  <c r="AC9" i="7"/>
  <c r="JZ3" i="7"/>
  <c r="EL3" i="7"/>
  <c r="ES4" i="7"/>
  <c r="KG4" i="7"/>
  <c r="K43" i="8"/>
  <c r="JB4" i="7"/>
  <c r="W4" i="7"/>
  <c r="HZ6" i="7"/>
  <c r="K6" i="7"/>
  <c r="AG6" i="6"/>
  <c r="AE6" i="6"/>
  <c r="Z6" i="6"/>
  <c r="Y6" i="6"/>
  <c r="X6" i="6"/>
  <c r="BP6" i="6"/>
  <c r="AF6" i="6"/>
  <c r="AD6" i="6"/>
  <c r="AC6" i="6"/>
  <c r="AB6" i="6"/>
  <c r="AA6" i="6"/>
  <c r="AR6" i="6"/>
  <c r="GT6" i="7" s="1"/>
  <c r="AQ6" i="6"/>
  <c r="J43" i="8"/>
  <c r="C63" i="8"/>
  <c r="ED5" i="7"/>
  <c r="GA2" i="7"/>
  <c r="AB7" i="7"/>
  <c r="EQ8" i="7"/>
  <c r="KE8" i="7"/>
  <c r="DF5" i="7"/>
  <c r="G8" i="6"/>
  <c r="D70" i="8"/>
  <c r="R9" i="7"/>
  <c r="AJ9" i="7" s="1"/>
  <c r="DO4" i="7"/>
  <c r="H39" i="8"/>
  <c r="HF9" i="7"/>
  <c r="P9" i="7"/>
  <c r="AI9" i="7" s="1"/>
  <c r="N5" i="7"/>
  <c r="E65" i="8"/>
  <c r="G52" i="8"/>
  <c r="E52" i="8"/>
  <c r="C52" i="8"/>
  <c r="H52" i="8"/>
  <c r="F52" i="8"/>
  <c r="D52" i="8"/>
  <c r="K52" i="8"/>
  <c r="J52" i="8"/>
  <c r="I52" i="8"/>
  <c r="F65" i="8"/>
  <c r="J63" i="8"/>
  <c r="EQ7" i="7"/>
  <c r="KE7" i="7"/>
  <c r="E7" i="7"/>
  <c r="GG7" i="7" a="1"/>
  <c r="GG7" i="7" s="1"/>
  <c r="P8" i="7"/>
  <c r="HF8" i="7"/>
  <c r="GH4" i="7"/>
  <c r="AF5" i="6"/>
  <c r="GI9" i="7"/>
  <c r="FR9" i="7" s="1"/>
  <c r="CY8" i="7"/>
  <c r="J70" i="8"/>
  <c r="AP9" i="7"/>
  <c r="HT6" i="7"/>
  <c r="Y6" i="7"/>
  <c r="JX6" i="7"/>
  <c r="EJ6" i="7"/>
  <c r="KD6" i="7"/>
  <c r="EP6" i="7"/>
  <c r="C51" i="8"/>
  <c r="AY5" i="6"/>
  <c r="JS5" i="7"/>
  <c r="AD5" i="7"/>
  <c r="J39" i="8"/>
  <c r="AD2" i="7"/>
  <c r="JS2" i="7"/>
  <c r="J85" i="8"/>
  <c r="I85" i="8"/>
  <c r="H85" i="8"/>
  <c r="D85" i="8"/>
  <c r="C85" i="8"/>
  <c r="E85" i="8"/>
  <c r="K85" i="8"/>
  <c r="G85" i="8"/>
  <c r="F85" i="8"/>
  <c r="E51" i="8"/>
  <c r="AD7" i="7"/>
  <c r="JS7" i="7"/>
  <c r="HZ9" i="7"/>
  <c r="AD9" i="6"/>
  <c r="AG9" i="6"/>
  <c r="K9" i="7"/>
  <c r="AF9" i="6"/>
  <c r="AE9" i="6"/>
  <c r="AC9" i="6"/>
  <c r="AA9" i="6"/>
  <c r="AR9" i="6"/>
  <c r="GT9" i="7" s="1"/>
  <c r="AQ9" i="6"/>
  <c r="AB9" i="6"/>
  <c r="Y9" i="6"/>
  <c r="X9" i="6"/>
  <c r="Z9" i="6"/>
  <c r="BP9" i="6"/>
  <c r="V3" i="7"/>
  <c r="AM3" i="7" s="1"/>
  <c r="HO3" i="7"/>
  <c r="X9" i="7"/>
  <c r="AN9" i="7" s="1"/>
  <c r="R2" i="7"/>
  <c r="IM2" i="7"/>
  <c r="F84" i="8"/>
  <c r="AA3" i="7"/>
  <c r="AP3" i="7" s="1"/>
  <c r="JM3" i="7"/>
  <c r="E48" i="8"/>
  <c r="K53" i="8"/>
  <c r="J53" i="8"/>
  <c r="I53" i="8"/>
  <c r="H53" i="8"/>
  <c r="F53" i="8"/>
  <c r="D53" i="8"/>
  <c r="G53" i="8"/>
  <c r="C53" i="8"/>
  <c r="DJ2" i="7"/>
  <c r="E53" i="8"/>
  <c r="K90" i="8"/>
  <c r="I90" i="8"/>
  <c r="H90" i="8"/>
  <c r="G90" i="8"/>
  <c r="J90" i="8"/>
  <c r="E90" i="8"/>
  <c r="C90" i="8"/>
  <c r="F90" i="8"/>
  <c r="D90" i="8"/>
  <c r="EI2" i="7"/>
  <c r="H84" i="8"/>
  <c r="CX4" i="7"/>
  <c r="I84" i="8"/>
  <c r="EA4" i="7"/>
  <c r="DZ4" i="7"/>
  <c r="EF9" i="7"/>
  <c r="E63" i="8"/>
  <c r="I80" i="8"/>
  <c r="N4" i="7"/>
  <c r="AG4" i="7" s="1"/>
  <c r="GZ9" i="7"/>
  <c r="J9" i="7"/>
  <c r="N3" i="7"/>
  <c r="J59" i="8"/>
  <c r="H59" i="8"/>
  <c r="F59" i="8"/>
  <c r="K59" i="8"/>
  <c r="I59" i="8"/>
  <c r="G59" i="8"/>
  <c r="E59" i="8"/>
  <c r="D59" i="8"/>
  <c r="C59" i="8"/>
  <c r="DN2" i="7"/>
  <c r="D2" i="6"/>
  <c r="C2" i="6"/>
  <c r="U2" i="6"/>
  <c r="V2" i="6"/>
  <c r="GS2" i="7" s="1"/>
  <c r="M2" i="7"/>
  <c r="K2" i="6"/>
  <c r="J2" i="6"/>
  <c r="I2" i="6"/>
  <c r="HC2" i="7"/>
  <c r="H2" i="6"/>
  <c r="F2" i="6"/>
  <c r="E2" i="6"/>
  <c r="B2" i="6"/>
  <c r="G2" i="6"/>
  <c r="GD7" i="7"/>
  <c r="HC4" i="7"/>
  <c r="V4" i="6"/>
  <c r="GS4" i="7" s="1"/>
  <c r="U4" i="6"/>
  <c r="I4" i="6"/>
  <c r="J4" i="6"/>
  <c r="M4" i="7"/>
  <c r="K4" i="6"/>
  <c r="G4" i="6"/>
  <c r="F4" i="6"/>
  <c r="E4" i="6"/>
  <c r="H4" i="6"/>
  <c r="D4" i="6"/>
  <c r="C4" i="6"/>
  <c r="B4" i="6"/>
  <c r="J65" i="8"/>
  <c r="GA9" i="7"/>
  <c r="O5" i="7"/>
  <c r="S6" i="7"/>
  <c r="HI6" i="7"/>
  <c r="H63" i="8"/>
  <c r="EC4" i="7"/>
  <c r="AB4" i="7"/>
  <c r="HW4" i="7"/>
  <c r="EC9" i="7"/>
  <c r="D108" i="8" s="1"/>
  <c r="S5" i="7"/>
  <c r="HI5" i="7"/>
  <c r="K49" i="8"/>
  <c r="F42" i="8"/>
  <c r="BC8" i="6"/>
  <c r="BB8" i="6"/>
  <c r="BA8" i="6"/>
  <c r="AZ8" i="6"/>
  <c r="AX8" i="6"/>
  <c r="L8" i="7"/>
  <c r="IA8" i="7"/>
  <c r="AY8" i="6"/>
  <c r="AW8" i="6"/>
  <c r="AV8" i="6"/>
  <c r="AU8" i="6"/>
  <c r="AT8" i="6"/>
  <c r="BN8" i="6"/>
  <c r="GU8" i="7" s="1"/>
  <c r="BM8" i="6"/>
  <c r="C39" i="8"/>
  <c r="DK6" i="7"/>
  <c r="KE9" i="7"/>
  <c r="EQ9" i="7"/>
  <c r="E9" i="7"/>
  <c r="GG9" i="7" a="1"/>
  <c r="GG9" i="7" s="1"/>
  <c r="EL4" i="7"/>
  <c r="JZ4" i="7"/>
  <c r="GH5" i="7"/>
  <c r="AQ5" i="6"/>
  <c r="GI3" i="7"/>
  <c r="GK3" i="7" s="1"/>
  <c r="M8" i="7"/>
  <c r="AG8" i="7" s="1"/>
  <c r="F77" i="8"/>
  <c r="K70" i="8"/>
  <c r="HT8" i="7"/>
  <c r="Y8" i="7"/>
  <c r="AO8" i="7" s="1"/>
  <c r="EJ8" i="7"/>
  <c r="JX8" i="7"/>
  <c r="JC5" i="7"/>
  <c r="X5" i="7"/>
  <c r="AN5" i="7" s="1"/>
  <c r="KD7" i="7"/>
  <c r="EP7" i="7"/>
  <c r="EA9" i="7"/>
  <c r="DC4" i="7"/>
  <c r="EE3" i="7"/>
  <c r="D51" i="8"/>
  <c r="EF2" i="7"/>
  <c r="AZ5" i="6"/>
  <c r="KG9" i="7"/>
  <c r="ES9" i="7"/>
  <c r="JC7" i="7"/>
  <c r="X7" i="7"/>
  <c r="G51" i="8"/>
  <c r="HZ4" i="7"/>
  <c r="X4" i="6"/>
  <c r="AB4" i="6"/>
  <c r="AA4" i="6"/>
  <c r="Z4" i="6"/>
  <c r="Y4" i="6"/>
  <c r="K4" i="7"/>
  <c r="AR4" i="6"/>
  <c r="GT4" i="7" s="1"/>
  <c r="AF4" i="6"/>
  <c r="AG4" i="6"/>
  <c r="AE4" i="6"/>
  <c r="BP4" i="6"/>
  <c r="AC4" i="6"/>
  <c r="AQ4" i="6"/>
  <c r="AD4" i="6"/>
  <c r="KG8" i="7"/>
  <c r="ES8" i="7"/>
  <c r="J55" i="8"/>
  <c r="JM5" i="7"/>
  <c r="AA5" i="7"/>
  <c r="G45" i="8"/>
  <c r="F43" i="8"/>
  <c r="J6" i="7"/>
  <c r="GZ6" i="7"/>
  <c r="GB6" i="7"/>
  <c r="K86" i="8"/>
  <c r="V7" i="7"/>
  <c r="F35" i="8"/>
  <c r="D35" i="8"/>
  <c r="H35" i="8"/>
  <c r="G35" i="8"/>
  <c r="E35" i="8"/>
  <c r="C35" i="8"/>
  <c r="K35" i="8"/>
  <c r="J35" i="8"/>
  <c r="I35" i="8"/>
  <c r="CX2" i="7"/>
  <c r="R5" i="7"/>
  <c r="IM5" i="7"/>
  <c r="GH3" i="7"/>
  <c r="EG3" i="7"/>
  <c r="GA8" i="7"/>
  <c r="KB9" i="7"/>
  <c r="EN9" i="7"/>
  <c r="GA5" i="7"/>
  <c r="Z6" i="7"/>
  <c r="JL6" i="7"/>
  <c r="H47" i="8"/>
  <c r="F47" i="8"/>
  <c r="D47" i="8"/>
  <c r="G47" i="8"/>
  <c r="E47" i="8"/>
  <c r="C47" i="8"/>
  <c r="K47" i="8"/>
  <c r="I47" i="8"/>
  <c r="J47" i="8"/>
  <c r="DF2" i="7"/>
  <c r="CX7" i="7"/>
  <c r="J41" i="8"/>
  <c r="I41" i="8"/>
  <c r="H41" i="8"/>
  <c r="F41" i="8"/>
  <c r="E41" i="8"/>
  <c r="D41" i="8"/>
  <c r="C41" i="8"/>
  <c r="K41" i="8"/>
  <c r="G41" i="8"/>
  <c r="DB2" i="7"/>
  <c r="I45" i="8"/>
  <c r="I65" i="8"/>
  <c r="K7" i="7"/>
  <c r="HZ7" i="7"/>
  <c r="AG7" i="6"/>
  <c r="AF7" i="6"/>
  <c r="AE7" i="6"/>
  <c r="AD7" i="6"/>
  <c r="AB7" i="6"/>
  <c r="AQ7" i="6"/>
  <c r="BP7" i="6"/>
  <c r="X7" i="6"/>
  <c r="AC7" i="6"/>
  <c r="AA7" i="6"/>
  <c r="Z7" i="6"/>
  <c r="Y7" i="6"/>
  <c r="AR7" i="6"/>
  <c r="GT7" i="7" s="1"/>
  <c r="GG4" i="7" a="1"/>
  <c r="GG4" i="7" s="1"/>
  <c r="E4" i="7"/>
  <c r="HF4" i="7"/>
  <c r="P4" i="7"/>
  <c r="AW5" i="6"/>
  <c r="JL9" i="7"/>
  <c r="Z9" i="7"/>
  <c r="K63" i="8"/>
  <c r="U7" i="7"/>
  <c r="AL7" i="7" s="1"/>
  <c r="IS7" i="7"/>
  <c r="K54" i="8"/>
  <c r="I54" i="8"/>
  <c r="G54" i="8"/>
  <c r="C54" i="8"/>
  <c r="D54" i="8"/>
  <c r="H54" i="8"/>
  <c r="F54" i="8"/>
  <c r="E54" i="8"/>
  <c r="DK2" i="7"/>
  <c r="J54" i="8"/>
  <c r="GG5" i="7" a="1"/>
  <c r="GG5" i="7" s="1"/>
  <c r="E5" i="7"/>
  <c r="DF7" i="7"/>
  <c r="JX9" i="7"/>
  <c r="EJ9" i="7"/>
  <c r="DD7" i="7"/>
  <c r="JL4" i="7"/>
  <c r="Z4" i="7"/>
  <c r="AB9" i="7"/>
  <c r="HW9" i="7"/>
  <c r="HI4" i="7"/>
  <c r="S4" i="7"/>
  <c r="J74" i="8"/>
  <c r="DC2" i="7"/>
  <c r="K39" i="8"/>
  <c r="GJ3" i="7"/>
  <c r="DY4" i="7"/>
  <c r="D106" i="8" s="1"/>
  <c r="DX4" i="7"/>
  <c r="C106" i="8" s="1"/>
  <c r="G87" i="8"/>
  <c r="AB2" i="7"/>
  <c r="JY2" i="7"/>
  <c r="EK2" i="7"/>
  <c r="EG6" i="7"/>
  <c r="I87" i="8"/>
  <c r="C55" i="8"/>
  <c r="IR6" i="7"/>
  <c r="T6" i="7"/>
  <c r="JY3" i="7"/>
  <c r="EK3" i="7"/>
  <c r="K74" i="8"/>
  <c r="C49" i="8"/>
  <c r="DA6" i="7"/>
  <c r="H42" i="8"/>
  <c r="AV2" i="6"/>
  <c r="AU2" i="6"/>
  <c r="BM2" i="6"/>
  <c r="AY2" i="6"/>
  <c r="AX2" i="6"/>
  <c r="AW2" i="6"/>
  <c r="L2" i="7"/>
  <c r="AT2" i="6"/>
  <c r="BC2" i="6"/>
  <c r="BB2" i="6"/>
  <c r="BA2" i="6"/>
  <c r="AZ2" i="6"/>
  <c r="BN2" i="6"/>
  <c r="GU2" i="7" s="1"/>
  <c r="IA2" i="7"/>
  <c r="G39" i="8"/>
  <c r="T4" i="7"/>
  <c r="JZ9" i="7"/>
  <c r="EL9" i="7"/>
  <c r="IT5" i="7"/>
  <c r="T5" i="7"/>
  <c r="GH7" i="7"/>
  <c r="GI6" i="7"/>
  <c r="FR6" i="7" s="1"/>
  <c r="S8" i="7"/>
  <c r="AK8" i="7" s="1"/>
  <c r="G77" i="8"/>
  <c r="AD8" i="7"/>
  <c r="AR8" i="7" s="1"/>
  <c r="JS8" i="7"/>
  <c r="R4" i="7"/>
  <c r="AJ4" i="7" s="1"/>
  <c r="HT5" i="7"/>
  <c r="Y5" i="7"/>
  <c r="X8" i="7"/>
  <c r="AN8" i="7" s="1"/>
  <c r="JC8" i="7"/>
  <c r="EP8" i="7"/>
  <c r="KD8" i="7"/>
  <c r="J51" i="8"/>
  <c r="C86" i="8"/>
  <c r="BM5" i="6"/>
  <c r="EN2" i="7"/>
  <c r="KB2" i="7"/>
  <c r="JZ7" i="7"/>
  <c r="EL7" i="7"/>
  <c r="JC2" i="7"/>
  <c r="X2" i="7"/>
  <c r="GF5" i="7"/>
  <c r="FT6" i="7"/>
  <c r="FP6" i="7"/>
  <c r="FO6" i="7"/>
  <c r="HO6" i="7"/>
  <c r="V6" i="7"/>
  <c r="C50" i="8"/>
  <c r="I50" i="8"/>
  <c r="H50" i="8"/>
  <c r="G50" i="8"/>
  <c r="E50" i="8"/>
  <c r="K50" i="8"/>
  <c r="J50" i="8"/>
  <c r="F50" i="8"/>
  <c r="D50" i="8"/>
  <c r="DH2" i="7"/>
  <c r="E80" i="8"/>
  <c r="J4" i="7"/>
  <c r="GZ4" i="7"/>
  <c r="I43" i="8"/>
  <c r="GZ8" i="7"/>
  <c r="J8" i="7"/>
  <c r="EL2" i="7"/>
  <c r="JZ2" i="7"/>
  <c r="J3" i="7"/>
  <c r="GZ3" i="7"/>
  <c r="T7" i="7"/>
  <c r="F45" i="8"/>
  <c r="N9" i="7"/>
  <c r="J7" i="7"/>
  <c r="GZ7" i="7"/>
  <c r="J8" i="6"/>
  <c r="KC2" i="7"/>
  <c r="EO2" i="7"/>
  <c r="EF5" i="7"/>
  <c r="HC3" i="7"/>
  <c r="V3" i="6"/>
  <c r="GS3" i="7" s="1"/>
  <c r="H3" i="6"/>
  <c r="G3" i="6"/>
  <c r="F3" i="6"/>
  <c r="E3" i="6"/>
  <c r="C3" i="6"/>
  <c r="U3" i="6"/>
  <c r="K3" i="6"/>
  <c r="M3" i="7"/>
  <c r="J3" i="6"/>
  <c r="D3" i="6"/>
  <c r="B3" i="6"/>
  <c r="I3" i="6"/>
  <c r="U3" i="7"/>
  <c r="AL3" i="7" s="1"/>
  <c r="IS3" i="7"/>
  <c r="IG7" i="7"/>
  <c r="O7" i="7"/>
  <c r="AH7" i="7" s="1"/>
  <c r="IG4" i="7"/>
  <c r="O4" i="7"/>
  <c r="Q4" i="7"/>
  <c r="G65" i="8"/>
  <c r="W7" i="7"/>
  <c r="H87" i="8"/>
  <c r="F49" i="8"/>
  <c r="N6" i="7"/>
  <c r="IF6" i="7"/>
  <c r="JY6" i="7"/>
  <c r="EK6" i="7"/>
  <c r="D55" i="8"/>
  <c r="KB6" i="7"/>
  <c r="EN6" i="7"/>
  <c r="ES7" i="7"/>
  <c r="KG7" i="7"/>
  <c r="K42" i="8"/>
  <c r="DK9" i="7"/>
  <c r="JD5" i="7"/>
  <c r="W5" i="7"/>
  <c r="AM5" i="7" s="1"/>
  <c r="JZ5" i="7"/>
  <c r="EL5" i="7"/>
  <c r="DE4" i="7"/>
  <c r="GH2" i="7"/>
  <c r="GI8" i="7"/>
  <c r="GK8" i="7" s="1"/>
  <c r="H61" i="8"/>
  <c r="F48" i="8"/>
  <c r="H77" i="8"/>
  <c r="JS6" i="7"/>
  <c r="AD6" i="7"/>
  <c r="AR6" i="7" s="1"/>
  <c r="AC8" i="7"/>
  <c r="HT7" i="7"/>
  <c r="Y7" i="7"/>
  <c r="AO7" i="7" s="1"/>
  <c r="X3" i="7"/>
  <c r="AN3" i="7" s="1"/>
  <c r="JC3" i="7"/>
  <c r="KD3" i="7"/>
  <c r="EP3" i="7"/>
  <c r="AB8" i="7"/>
  <c r="I51" i="8"/>
  <c r="D86" i="8"/>
  <c r="BN5" i="6"/>
  <c r="GU5" i="7" s="1"/>
  <c r="EN3" i="7"/>
  <c r="KB3" i="7"/>
  <c r="J48" i="8"/>
  <c r="AA6" i="7"/>
  <c r="JM6" i="7"/>
  <c r="C108" i="8"/>
  <c r="AI8" i="7"/>
  <c r="C48" i="8"/>
  <c r="GB8" i="7"/>
  <c r="KF4" i="7"/>
  <c r="ER4" i="7"/>
  <c r="E84" i="8"/>
  <c r="I55" i="8"/>
  <c r="IS8" i="7"/>
  <c r="U8" i="7"/>
  <c r="AL8" i="7" s="1"/>
  <c r="D43" i="8"/>
  <c r="ED6" i="7"/>
  <c r="D48" i="8"/>
  <c r="KF9" i="7"/>
  <c r="ER9" i="7"/>
  <c r="Z2" i="6"/>
  <c r="Y2" i="6"/>
  <c r="AQ2" i="6"/>
  <c r="HZ2" i="7"/>
  <c r="X2" i="6"/>
  <c r="AR2" i="6"/>
  <c r="GT2" i="7" s="1"/>
  <c r="K2" i="7"/>
  <c r="AG2" i="6"/>
  <c r="AF2" i="6"/>
  <c r="AE2" i="6"/>
  <c r="AD2" i="6"/>
  <c r="AC2" i="6"/>
  <c r="BP2" i="6"/>
  <c r="AA2" i="6"/>
  <c r="AB2" i="6"/>
  <c r="IS2" i="7"/>
  <c r="U2" i="7"/>
  <c r="J2" i="7"/>
  <c r="GZ2" i="7"/>
  <c r="G84" i="8"/>
  <c r="DI9" i="7"/>
  <c r="E98" i="8" s="1"/>
  <c r="J45" i="8"/>
  <c r="V2" i="7"/>
  <c r="HO2" i="7"/>
  <c r="F80" i="8"/>
  <c r="C8" i="6"/>
  <c r="EO3" i="7"/>
  <c r="KC3" i="7"/>
  <c r="JM8" i="7"/>
  <c r="AA8" i="7"/>
  <c r="AP8" i="7" s="1"/>
  <c r="IM6" i="7"/>
  <c r="R6" i="7"/>
  <c r="EO7" i="7"/>
  <c r="KC7" i="7"/>
  <c r="DW9" i="7"/>
  <c r="V9" i="7"/>
  <c r="AM9" i="7" s="1"/>
  <c r="H80" i="8"/>
  <c r="IG2" i="7"/>
  <c r="O2" i="7"/>
  <c r="CX6" i="7"/>
  <c r="AX5" i="6"/>
  <c r="C103" i="8"/>
  <c r="B103" i="8"/>
  <c r="DV7" i="7"/>
  <c r="GI5" i="7"/>
  <c r="GK5" i="7" s="1"/>
  <c r="EO4" i="7"/>
  <c r="KC4" i="7"/>
  <c r="J71" i="8"/>
  <c r="I71" i="8"/>
  <c r="H71" i="8"/>
  <c r="D71" i="8"/>
  <c r="C71" i="8"/>
  <c r="K71" i="8"/>
  <c r="G71" i="8"/>
  <c r="F71" i="8"/>
  <c r="E71" i="8"/>
  <c r="DV2" i="7"/>
  <c r="G63" i="8"/>
  <c r="Q6" i="7"/>
  <c r="IL6" i="7"/>
  <c r="F63" i="8"/>
  <c r="I60" i="8"/>
  <c r="H60" i="8"/>
  <c r="G60" i="8"/>
  <c r="E60" i="8"/>
  <c r="C60" i="8"/>
  <c r="K60" i="8"/>
  <c r="J60" i="8"/>
  <c r="D60" i="8"/>
  <c r="F60" i="8"/>
  <c r="DO2" i="7"/>
  <c r="JC4" i="7"/>
  <c r="X4" i="7"/>
  <c r="AN4" i="7" s="1"/>
  <c r="EO8" i="7"/>
  <c r="KC8" i="7"/>
  <c r="GI2" i="7"/>
  <c r="GK2" i="7" s="1"/>
  <c r="DB7" i="7"/>
  <c r="Z5" i="7"/>
  <c r="JY5" i="7"/>
  <c r="EK5" i="7"/>
  <c r="IA3" i="7"/>
  <c r="BN3" i="6"/>
  <c r="GU3" i="7" s="1"/>
  <c r="BM3" i="6"/>
  <c r="BC3" i="6"/>
  <c r="AT3" i="6"/>
  <c r="BB3" i="6"/>
  <c r="BA3" i="6"/>
  <c r="AZ3" i="6"/>
  <c r="AY3" i="6"/>
  <c r="AX3" i="6"/>
  <c r="AW3" i="6"/>
  <c r="AV3" i="6"/>
  <c r="L3" i="7"/>
  <c r="AU3" i="6"/>
  <c r="BP3" i="6"/>
  <c r="JR7" i="7"/>
  <c r="AC7" i="7"/>
  <c r="AQ7" i="7" s="1"/>
  <c r="J87" i="8"/>
  <c r="DW5" i="7"/>
  <c r="C74" i="8"/>
  <c r="IA9" i="7"/>
  <c r="L9" i="7"/>
  <c r="AF9" i="7" s="1"/>
  <c r="AZ9" i="6"/>
  <c r="BC9" i="6"/>
  <c r="BB9" i="6"/>
  <c r="BA9" i="6"/>
  <c r="AX9" i="6"/>
  <c r="AY9" i="6"/>
  <c r="AW9" i="6"/>
  <c r="AV9" i="6"/>
  <c r="AT9" i="6"/>
  <c r="AU9" i="6"/>
  <c r="BM9" i="6"/>
  <c r="BN9" i="6"/>
  <c r="GU9" i="7" s="1"/>
  <c r="D39" i="8"/>
  <c r="AC4" i="7"/>
  <c r="JR4" i="7"/>
  <c r="K87" i="8"/>
  <c r="K66" i="8"/>
  <c r="I66" i="8"/>
  <c r="E66" i="8"/>
  <c r="D66" i="8"/>
  <c r="C66" i="8"/>
  <c r="H66" i="8"/>
  <c r="DS2" i="7"/>
  <c r="J66" i="8"/>
  <c r="G66" i="8"/>
  <c r="F66" i="8"/>
  <c r="JR5" i="7"/>
  <c r="AC5" i="7"/>
  <c r="AC5" i="6"/>
  <c r="AD5" i="6"/>
  <c r="EN8" i="7"/>
  <c r="KB8" i="7"/>
  <c r="H75" i="8"/>
  <c r="D74" i="8"/>
  <c r="EG9" i="7"/>
  <c r="E40" i="8"/>
  <c r="C40" i="8"/>
  <c r="I40" i="8"/>
  <c r="H40" i="8"/>
  <c r="G40" i="8"/>
  <c r="D40" i="8"/>
  <c r="J40" i="8"/>
  <c r="K40" i="8"/>
  <c r="F40" i="8"/>
  <c r="ES2" i="7"/>
  <c r="KG2" i="7"/>
  <c r="DA8" i="7"/>
  <c r="C42" i="8"/>
  <c r="IA4" i="7"/>
  <c r="L4" i="7"/>
  <c r="AY4" i="6"/>
  <c r="AX4" i="6"/>
  <c r="AW4" i="6"/>
  <c r="AV4" i="6"/>
  <c r="AT4" i="6"/>
  <c r="BM4" i="6"/>
  <c r="BC4" i="6"/>
  <c r="BB4" i="6"/>
  <c r="BA4" i="6"/>
  <c r="AZ4" i="6"/>
  <c r="AU4" i="6"/>
  <c r="BN4" i="6"/>
  <c r="GU4" i="7" s="1"/>
  <c r="E39" i="8"/>
  <c r="F57" i="8"/>
  <c r="D57" i="8"/>
  <c r="H57" i="8"/>
  <c r="G57" i="8"/>
  <c r="E57" i="8"/>
  <c r="J57" i="8"/>
  <c r="K57" i="8"/>
  <c r="I57" i="8"/>
  <c r="C57" i="8"/>
  <c r="DM2" i="7"/>
  <c r="EL6" i="7"/>
  <c r="JZ6" i="7"/>
  <c r="DE6" i="7"/>
  <c r="DC9" i="7"/>
  <c r="X5" i="6"/>
  <c r="G48" i="8"/>
  <c r="I77" i="8"/>
  <c r="JS3" i="7"/>
  <c r="AD3" i="7"/>
  <c r="HR8" i="7"/>
  <c r="U8" i="6"/>
  <c r="V8" i="6"/>
  <c r="GS8" i="7" s="1"/>
  <c r="Y9" i="7"/>
  <c r="HT9" i="7"/>
  <c r="JC6" i="7"/>
  <c r="X6" i="7"/>
  <c r="AN6" i="7" s="1"/>
  <c r="KD9" i="7"/>
  <c r="EP9" i="7"/>
  <c r="AD4" i="7"/>
  <c r="S7" i="7"/>
  <c r="DA4" i="7"/>
  <c r="DW8" i="7"/>
  <c r="K51" i="8"/>
  <c r="E86" i="8"/>
  <c r="L5" i="7"/>
  <c r="AE4" i="7" l="1"/>
  <c r="D12" i="8"/>
  <c r="H12" i="8"/>
  <c r="AQ3" i="7"/>
  <c r="BQ5" i="6"/>
  <c r="GO5" i="7" s="1"/>
  <c r="AI7" i="7"/>
  <c r="AO4" i="7"/>
  <c r="AP4" i="7"/>
  <c r="AF8" i="7"/>
  <c r="C104" i="8"/>
  <c r="AM4" i="7"/>
  <c r="AF7" i="7"/>
  <c r="H8" i="8"/>
  <c r="AK3" i="7"/>
  <c r="AP6" i="7"/>
  <c r="E96" i="8"/>
  <c r="AH4" i="7"/>
  <c r="E107" i="8"/>
  <c r="AH3" i="7"/>
  <c r="AK2" i="7"/>
  <c r="F12" i="8"/>
  <c r="AF5" i="7"/>
  <c r="AP7" i="7"/>
  <c r="H6" i="8"/>
  <c r="AO6" i="7"/>
  <c r="AP5" i="7"/>
  <c r="D110" i="8"/>
  <c r="AE3" i="7"/>
  <c r="AL5" i="7"/>
  <c r="F17" i="8"/>
  <c r="G17" i="8"/>
  <c r="AQ5" i="7"/>
  <c r="AR7" i="7"/>
  <c r="AR4" i="7"/>
  <c r="AQ9" i="7"/>
  <c r="C110" i="8"/>
  <c r="B110" i="8"/>
  <c r="C102" i="8"/>
  <c r="B102" i="8"/>
  <c r="L6" i="6"/>
  <c r="M6" i="6" s="1"/>
  <c r="AI4" i="7"/>
  <c r="P6" i="6"/>
  <c r="Q9" i="6"/>
  <c r="Q2" i="6"/>
  <c r="E94" i="8"/>
  <c r="D94" i="8"/>
  <c r="AH9" i="6"/>
  <c r="AI9" i="6" s="1"/>
  <c r="BQ8" i="6"/>
  <c r="GO8" i="7" s="1"/>
  <c r="GY8" i="7"/>
  <c r="BD6" i="6"/>
  <c r="BE6" i="6" s="1"/>
  <c r="F6" i="8"/>
  <c r="BG6" i="6"/>
  <c r="H17" i="8"/>
  <c r="AL8" i="6"/>
  <c r="E6" i="8"/>
  <c r="D17" i="8"/>
  <c r="H16" i="8"/>
  <c r="D16" i="8"/>
  <c r="C16" i="8"/>
  <c r="E16" i="8"/>
  <c r="G16" i="8"/>
  <c r="F16" i="8"/>
  <c r="C29" i="8"/>
  <c r="AN2" i="7"/>
  <c r="AH7" i="6"/>
  <c r="AI7" i="6" s="1"/>
  <c r="C93" i="8"/>
  <c r="B93" i="8"/>
  <c r="AO3" i="7"/>
  <c r="G21" i="8"/>
  <c r="L4" i="6"/>
  <c r="M4" i="6" s="1"/>
  <c r="C31" i="8"/>
  <c r="F22" i="8"/>
  <c r="E22" i="8"/>
  <c r="D22" i="8"/>
  <c r="C22" i="8"/>
  <c r="H22" i="8"/>
  <c r="G22" i="8"/>
  <c r="AR2" i="7"/>
  <c r="AH6" i="6"/>
  <c r="AI6" i="6" s="1"/>
  <c r="D18" i="8"/>
  <c r="C18" i="8"/>
  <c r="F18" i="8"/>
  <c r="E18" i="8"/>
  <c r="AO2" i="7"/>
  <c r="B30" i="8" s="1"/>
  <c r="G18" i="8"/>
  <c r="H18" i="8"/>
  <c r="E105" i="8"/>
  <c r="D105" i="8"/>
  <c r="G6" i="8"/>
  <c r="AI3" i="7"/>
  <c r="AJ3" i="7"/>
  <c r="E106" i="8"/>
  <c r="AO5" i="7"/>
  <c r="C105" i="8"/>
  <c r="B105" i="8"/>
  <c r="GK6" i="7"/>
  <c r="BQ7" i="6"/>
  <c r="GO7" i="7" s="1"/>
  <c r="GY7" i="7"/>
  <c r="C97" i="8"/>
  <c r="B97" i="8"/>
  <c r="C21" i="8"/>
  <c r="O4" i="6"/>
  <c r="AK6" i="6"/>
  <c r="BG5" i="6"/>
  <c r="BJ6" i="6"/>
  <c r="FQ9" i="7"/>
  <c r="E104" i="8"/>
  <c r="D104" i="8"/>
  <c r="AH2" i="6"/>
  <c r="AI2" i="6" s="1"/>
  <c r="AJ2" i="6"/>
  <c r="AK4" i="6"/>
  <c r="L8" i="6"/>
  <c r="M8" i="6" s="1"/>
  <c r="E99" i="8"/>
  <c r="D99" i="8"/>
  <c r="H19" i="8"/>
  <c r="G19" i="8"/>
  <c r="F19" i="8"/>
  <c r="D19" i="8"/>
  <c r="C30" i="8"/>
  <c r="E19" i="8"/>
  <c r="C19" i="8"/>
  <c r="AP2" i="7"/>
  <c r="D30" i="8" s="1"/>
  <c r="C111" i="8"/>
  <c r="B111" i="8"/>
  <c r="BD3" i="6"/>
  <c r="BE3" i="6" s="1"/>
  <c r="AH4" i="6"/>
  <c r="AI4" i="6" s="1"/>
  <c r="AG3" i="7"/>
  <c r="D8" i="8"/>
  <c r="C99" i="8"/>
  <c r="B99" i="8"/>
  <c r="E95" i="8"/>
  <c r="D95" i="8"/>
  <c r="GY6" i="7"/>
  <c r="BQ6" i="6"/>
  <c r="GO6" i="7" s="1"/>
  <c r="C5" i="8"/>
  <c r="H5" i="8"/>
  <c r="G5" i="8"/>
  <c r="F5" i="8"/>
  <c r="D5" i="8"/>
  <c r="E5" i="8"/>
  <c r="D21" i="8"/>
  <c r="Q4" i="6"/>
  <c r="C107" i="8"/>
  <c r="B107" i="8"/>
  <c r="B106" i="8"/>
  <c r="AH6" i="7"/>
  <c r="AJ7" i="7"/>
  <c r="AQ6" i="7"/>
  <c r="FO9" i="7"/>
  <c r="E100" i="8"/>
  <c r="D100" i="8"/>
  <c r="C27" i="8"/>
  <c r="G10" i="8"/>
  <c r="F10" i="8"/>
  <c r="E10" i="8"/>
  <c r="D10" i="8"/>
  <c r="H10" i="8"/>
  <c r="C10" i="8"/>
  <c r="AJ2" i="7"/>
  <c r="E108" i="8"/>
  <c r="H20" i="8"/>
  <c r="F20" i="8"/>
  <c r="E20" i="8"/>
  <c r="G20" i="8"/>
  <c r="D20" i="8"/>
  <c r="C20" i="8"/>
  <c r="E109" i="8"/>
  <c r="D109" i="8"/>
  <c r="C17" i="8"/>
  <c r="AG5" i="7"/>
  <c r="D9" i="8"/>
  <c r="H21" i="8"/>
  <c r="BI7" i="6"/>
  <c r="FS7" i="7"/>
  <c r="FT7" i="7"/>
  <c r="FR7" i="7"/>
  <c r="FQ7" i="7"/>
  <c r="FP7" i="7"/>
  <c r="FO7" i="7"/>
  <c r="C6" i="8"/>
  <c r="AR3" i="7"/>
  <c r="AO9" i="7"/>
  <c r="F21" i="8"/>
  <c r="AJ6" i="7"/>
  <c r="AN7" i="7"/>
  <c r="AE9" i="7"/>
  <c r="AR5" i="7"/>
  <c r="AE6" i="7"/>
  <c r="FP9" i="7"/>
  <c r="L9" i="6"/>
  <c r="M9" i="6" s="1"/>
  <c r="O9" i="6"/>
  <c r="G14" i="8"/>
  <c r="C14" i="8"/>
  <c r="H14" i="8"/>
  <c r="F14" i="8"/>
  <c r="E14" i="8"/>
  <c r="D14" i="8"/>
  <c r="BD2" i="6"/>
  <c r="BE2" i="6" s="1"/>
  <c r="BF2" i="6"/>
  <c r="L7" i="6"/>
  <c r="M7" i="6" s="1"/>
  <c r="C8" i="8"/>
  <c r="E103" i="8"/>
  <c r="D103" i="8"/>
  <c r="D6" i="8"/>
  <c r="E8" i="8"/>
  <c r="D96" i="8"/>
  <c r="AH8" i="6"/>
  <c r="AI8" i="6" s="1"/>
  <c r="F8" i="8"/>
  <c r="G7" i="8"/>
  <c r="F7" i="8"/>
  <c r="E7" i="8"/>
  <c r="C7" i="8"/>
  <c r="D7" i="8"/>
  <c r="C26" i="8"/>
  <c r="H7" i="8"/>
  <c r="AH2" i="7"/>
  <c r="E110" i="8"/>
  <c r="P8" i="6"/>
  <c r="G8" i="8"/>
  <c r="E2" i="8"/>
  <c r="D2" i="8"/>
  <c r="G2" i="8"/>
  <c r="H2" i="8"/>
  <c r="C2" i="8"/>
  <c r="F2" i="8"/>
  <c r="H13" i="8"/>
  <c r="F13" i="8"/>
  <c r="E13" i="8"/>
  <c r="D13" i="8"/>
  <c r="G13" i="8"/>
  <c r="C13" i="8"/>
  <c r="AL2" i="7"/>
  <c r="D28" i="8" s="1"/>
  <c r="C28" i="8"/>
  <c r="P4" i="6"/>
  <c r="AK5" i="7"/>
  <c r="L5" i="6"/>
  <c r="M5" i="6" s="1"/>
  <c r="FS9" i="7"/>
  <c r="BQ2" i="6"/>
  <c r="GO2" i="7" s="1"/>
  <c r="GY2" i="7"/>
  <c r="AG9" i="7"/>
  <c r="B26" i="8" s="1"/>
  <c r="AQ4" i="7"/>
  <c r="GY3" i="7"/>
  <c r="BQ3" i="6"/>
  <c r="GO3" i="7" s="1"/>
  <c r="AK7" i="7"/>
  <c r="GY4" i="7"/>
  <c r="BQ4" i="6"/>
  <c r="GO4" i="7" s="1"/>
  <c r="D97" i="8"/>
  <c r="G11" i="8"/>
  <c r="F11" i="8"/>
  <c r="E11" i="8"/>
  <c r="C11" i="8"/>
  <c r="H11" i="8"/>
  <c r="D11" i="8"/>
  <c r="BD5" i="6"/>
  <c r="BE5" i="6" s="1"/>
  <c r="D107" i="8"/>
  <c r="AR9" i="7"/>
  <c r="FT9" i="7"/>
  <c r="BH9" i="6"/>
  <c r="AM7" i="7"/>
  <c r="AF4" i="7"/>
  <c r="L2" i="6"/>
  <c r="M2" i="6" s="1"/>
  <c r="F9" i="8"/>
  <c r="E17" i="8"/>
  <c r="FS3" i="7"/>
  <c r="FR3" i="7"/>
  <c r="FQ3" i="7"/>
  <c r="FT3" i="7"/>
  <c r="FP3" i="7"/>
  <c r="FO3" i="7"/>
  <c r="AH5" i="7"/>
  <c r="GK9" i="7"/>
  <c r="AQ2" i="7"/>
  <c r="BD7" i="6"/>
  <c r="BE7" i="6" s="1"/>
  <c r="AI6" i="7"/>
  <c r="E21" i="8"/>
  <c r="AM2" i="6"/>
  <c r="BG3" i="6"/>
  <c r="AK6" i="7"/>
  <c r="FP5" i="7"/>
  <c r="FS5" i="7"/>
  <c r="FQ5" i="7"/>
  <c r="FR5" i="7"/>
  <c r="FO5" i="7"/>
  <c r="FT5" i="7"/>
  <c r="C101" i="8"/>
  <c r="B101" i="8"/>
  <c r="E111" i="8"/>
  <c r="D111" i="8"/>
  <c r="H15" i="8"/>
  <c r="G15" i="8"/>
  <c r="F15" i="8"/>
  <c r="D15" i="8"/>
  <c r="E15" i="8"/>
  <c r="C15" i="8"/>
  <c r="AM2" i="7"/>
  <c r="C100" i="8"/>
  <c r="B100" i="8"/>
  <c r="AF6" i="7"/>
  <c r="BD9" i="6"/>
  <c r="BE9" i="6" s="1"/>
  <c r="BF9" i="6"/>
  <c r="H3" i="8"/>
  <c r="G3" i="8"/>
  <c r="F3" i="8"/>
  <c r="D3" i="8"/>
  <c r="E3" i="8"/>
  <c r="C3" i="8"/>
  <c r="AE2" i="7"/>
  <c r="E93" i="8"/>
  <c r="D93" i="8"/>
  <c r="O8" i="6"/>
  <c r="AK2" i="6"/>
  <c r="AL2" i="6"/>
  <c r="C9" i="8"/>
  <c r="GY9" i="7"/>
  <c r="BQ9" i="6"/>
  <c r="GO9" i="7" s="1"/>
  <c r="C109" i="8"/>
  <c r="B109" i="8"/>
  <c r="C98" i="8"/>
  <c r="B98" i="8"/>
  <c r="BD8" i="6"/>
  <c r="BE8" i="6" s="1"/>
  <c r="C96" i="8"/>
  <c r="B96" i="8"/>
  <c r="E9" i="8"/>
  <c r="BH8" i="6"/>
  <c r="H9" i="8"/>
  <c r="AN2" i="6"/>
  <c r="AE8" i="7"/>
  <c r="L3" i="6"/>
  <c r="M3" i="6" s="1"/>
  <c r="AK4" i="7"/>
  <c r="BD4" i="6"/>
  <c r="BE4" i="6" s="1"/>
  <c r="P3" i="6"/>
  <c r="FQ6" i="7"/>
  <c r="C12" i="8"/>
  <c r="E102" i="8"/>
  <c r="D102" i="8"/>
  <c r="C94" i="8"/>
  <c r="B94" i="8"/>
  <c r="FT8" i="7"/>
  <c r="FQ8" i="7"/>
  <c r="FR8" i="7"/>
  <c r="FO8" i="7"/>
  <c r="FS8" i="7"/>
  <c r="FP8" i="7"/>
  <c r="C95" i="8"/>
  <c r="B95" i="8"/>
  <c r="BJ9" i="6"/>
  <c r="Q3" i="6"/>
  <c r="FP2" i="7"/>
  <c r="FR2" i="7"/>
  <c r="FQ2" i="7"/>
  <c r="FO2" i="7"/>
  <c r="FT2" i="7"/>
  <c r="FS2" i="7"/>
  <c r="C25" i="8"/>
  <c r="D4" i="8"/>
  <c r="C4" i="8"/>
  <c r="AF2" i="7"/>
  <c r="H4" i="8"/>
  <c r="G4" i="8"/>
  <c r="F4" i="8"/>
  <c r="E4" i="8"/>
  <c r="G9" i="8"/>
  <c r="R8" i="6"/>
  <c r="AJ5" i="7"/>
  <c r="FT4" i="7"/>
  <c r="FR4" i="7"/>
  <c r="FQ4" i="7"/>
  <c r="FS4" i="7"/>
  <c r="FO4" i="7"/>
  <c r="FP4" i="7"/>
  <c r="AH5" i="6"/>
  <c r="AQ8" i="7"/>
  <c r="AF3" i="7"/>
  <c r="BH3" i="6"/>
  <c r="E101" i="8"/>
  <c r="D101" i="8"/>
  <c r="AG6" i="7"/>
  <c r="G12" i="8"/>
  <c r="AE7" i="7"/>
  <c r="AH3" i="6"/>
  <c r="AI3" i="6" s="1"/>
  <c r="AJ3" i="6"/>
  <c r="D98" i="8"/>
  <c r="N8" i="6" l="1"/>
  <c r="AL6" i="6"/>
  <c r="P9" i="6"/>
  <c r="O5" i="6"/>
  <c r="B31" i="8"/>
  <c r="R9" i="6"/>
  <c r="BG8" i="6"/>
  <c r="AM8" i="6"/>
  <c r="BH6" i="6"/>
  <c r="O6" i="6"/>
  <c r="BG9" i="6"/>
  <c r="AM4" i="6"/>
  <c r="AJ9" i="6"/>
  <c r="B27" i="8"/>
  <c r="R2" i="6"/>
  <c r="BJ3" i="6"/>
  <c r="BK3" i="6" s="1"/>
  <c r="D29" i="8"/>
  <c r="B29" i="8"/>
  <c r="N9" i="6"/>
  <c r="S9" i="6" s="1"/>
  <c r="Q7" i="6"/>
  <c r="Q6" i="6"/>
  <c r="AN3" i="6"/>
  <c r="BI9" i="6"/>
  <c r="O7" i="6"/>
  <c r="B28" i="8"/>
  <c r="O2" i="6"/>
  <c r="AN8" i="6"/>
  <c r="BI6" i="6"/>
  <c r="R4" i="6"/>
  <c r="BF3" i="6"/>
  <c r="BI3" i="6"/>
  <c r="BH2" i="6"/>
  <c r="AN6" i="6"/>
  <c r="BF4" i="6"/>
  <c r="AJ7" i="6"/>
  <c r="N5" i="6"/>
  <c r="AN7" i="6"/>
  <c r="AL9" i="6"/>
  <c r="D26" i="8"/>
  <c r="R7" i="6"/>
  <c r="AK3" i="6"/>
  <c r="Q5" i="6"/>
  <c r="B25" i="8"/>
  <c r="P2" i="6"/>
  <c r="P7" i="6"/>
  <c r="R6" i="6"/>
  <c r="BF5" i="6"/>
  <c r="AN9" i="6"/>
  <c r="BH5" i="6"/>
  <c r="N7" i="6"/>
  <c r="AJ6" i="6"/>
  <c r="BI2" i="6"/>
  <c r="AJ4" i="6"/>
  <c r="AM3" i="6"/>
  <c r="BH4" i="6"/>
  <c r="BF8" i="6"/>
  <c r="BI8" i="6"/>
  <c r="AL3" i="6"/>
  <c r="AM7" i="6"/>
  <c r="R5" i="6"/>
  <c r="AK7" i="6"/>
  <c r="D31" i="8"/>
  <c r="BH7" i="6"/>
  <c r="AK8" i="6"/>
  <c r="Q8" i="6"/>
  <c r="S8" i="6" s="1"/>
  <c r="BJ2" i="6"/>
  <c r="N2" i="6"/>
  <c r="AJ8" i="6"/>
  <c r="BJ8" i="6"/>
  <c r="R3" i="6"/>
  <c r="N4" i="6"/>
  <c r="BJ5" i="6"/>
  <c r="O3" i="6"/>
  <c r="BJ7" i="6"/>
  <c r="AM6" i="6"/>
  <c r="D25" i="8"/>
  <c r="AO2" i="6"/>
  <c r="N6" i="6"/>
  <c r="AL7" i="6"/>
  <c r="BG7" i="6"/>
  <c r="D27" i="8"/>
  <c r="AI5" i="6"/>
  <c r="AN5" i="6"/>
  <c r="AL5" i="6"/>
  <c r="AM5" i="6"/>
  <c r="AK5" i="6"/>
  <c r="BK9" i="6"/>
  <c r="BI5" i="6"/>
  <c r="AK9" i="6"/>
  <c r="N3" i="6"/>
  <c r="BF7" i="6"/>
  <c r="AM9" i="6"/>
  <c r="BI4" i="6"/>
  <c r="AN4" i="6"/>
  <c r="BG2" i="6"/>
  <c r="BJ4" i="6"/>
  <c r="AJ5" i="6"/>
  <c r="AL4" i="6"/>
  <c r="BG4" i="6"/>
  <c r="P5" i="6"/>
  <c r="BF6" i="6"/>
  <c r="BK6" i="6" s="1"/>
  <c r="AO3" i="6" l="1"/>
  <c r="AO4" i="6"/>
  <c r="S7" i="6"/>
  <c r="BK2" i="6"/>
  <c r="AO6" i="6"/>
  <c r="GQ6" i="7" s="1"/>
  <c r="S4" i="6"/>
  <c r="AO8" i="6"/>
  <c r="GQ8" i="7" s="1"/>
  <c r="AO9" i="6"/>
  <c r="S2" i="6"/>
  <c r="GQ9" i="7"/>
  <c r="AP9" i="6"/>
  <c r="GW9" i="7" s="1"/>
  <c r="BL2" i="6"/>
  <c r="GX2" i="7" s="1"/>
  <c r="GR2" i="7"/>
  <c r="AP3" i="6"/>
  <c r="GW3" i="7" s="1"/>
  <c r="GQ3" i="7"/>
  <c r="AP4" i="6"/>
  <c r="GW4" i="7" s="1"/>
  <c r="GQ4" i="7"/>
  <c r="GP7" i="7"/>
  <c r="T7" i="6"/>
  <c r="GV7" i="7" s="1"/>
  <c r="W7" i="6"/>
  <c r="GL7" i="7" s="1"/>
  <c r="BK5" i="6"/>
  <c r="S6" i="6"/>
  <c r="GP9" i="7"/>
  <c r="W9" i="6"/>
  <c r="GL9" i="7" s="1"/>
  <c r="T9" i="6"/>
  <c r="GV9" i="7" s="1"/>
  <c r="GR9" i="7"/>
  <c r="BL9" i="6"/>
  <c r="GX9" i="7" s="1"/>
  <c r="BL6" i="6"/>
  <c r="GX6" i="7" s="1"/>
  <c r="GR6" i="7"/>
  <c r="BK8" i="6"/>
  <c r="S5" i="6"/>
  <c r="GP8" i="7"/>
  <c r="T8" i="6"/>
  <c r="GV8" i="7" s="1"/>
  <c r="T4" i="6"/>
  <c r="GV4" i="7" s="1"/>
  <c r="GP4" i="7"/>
  <c r="S3" i="6"/>
  <c r="GP2" i="7"/>
  <c r="T2" i="6"/>
  <c r="GV2" i="7" s="1"/>
  <c r="AP2" i="6"/>
  <c r="GW2" i="7" s="1"/>
  <c r="GQ2" i="7"/>
  <c r="AO7" i="6"/>
  <c r="BK7" i="6"/>
  <c r="AO5" i="6"/>
  <c r="BL3" i="6"/>
  <c r="GX3" i="7" s="1"/>
  <c r="GR3" i="7"/>
  <c r="BK4" i="6"/>
  <c r="AS4" i="6" l="1"/>
  <c r="GM4" i="7" s="1"/>
  <c r="W4" i="6"/>
  <c r="GL4" i="7" s="1"/>
  <c r="BO9" i="6"/>
  <c r="GN9" i="7" s="1"/>
  <c r="AP8" i="6"/>
  <c r="GW8" i="7" s="1"/>
  <c r="AP6" i="6"/>
  <c r="GW6" i="7" s="1"/>
  <c r="GR5" i="7"/>
  <c r="BL5" i="6"/>
  <c r="GX5" i="7" s="1"/>
  <c r="AS2" i="6"/>
  <c r="GM2" i="7" s="1"/>
  <c r="GR8" i="7"/>
  <c r="BL8" i="6"/>
  <c r="GX8" i="7" s="1"/>
  <c r="BO8" i="6"/>
  <c r="GN8" i="7" s="1"/>
  <c r="AS3" i="6"/>
  <c r="GM3" i="7" s="1"/>
  <c r="W2" i="6"/>
  <c r="GL2" i="7" s="1"/>
  <c r="GP6" i="7"/>
  <c r="T6" i="6"/>
  <c r="GV6" i="7" s="1"/>
  <c r="T3" i="6"/>
  <c r="GV3" i="7" s="1"/>
  <c r="GP3" i="7"/>
  <c r="BL4" i="6"/>
  <c r="GX4" i="7" s="1"/>
  <c r="GR4" i="7"/>
  <c r="GP5" i="7"/>
  <c r="T5" i="6"/>
  <c r="GV5" i="7" s="1"/>
  <c r="GR7" i="7"/>
  <c r="BL7" i="6"/>
  <c r="GX7" i="7" s="1"/>
  <c r="AS9" i="6"/>
  <c r="GM9" i="7" s="1"/>
  <c r="W8" i="6"/>
  <c r="GL8" i="7" s="1"/>
  <c r="BO3" i="6"/>
  <c r="GN3" i="7" s="1"/>
  <c r="GQ5" i="7"/>
  <c r="AP5" i="6"/>
  <c r="GW5" i="7" s="1"/>
  <c r="BO6" i="6"/>
  <c r="GN6" i="7" s="1"/>
  <c r="AS8" i="6"/>
  <c r="GM8" i="7" s="1"/>
  <c r="BO2" i="6"/>
  <c r="GN2" i="7" s="1"/>
  <c r="GQ7" i="7"/>
  <c r="AP7" i="6"/>
  <c r="GW7" i="7" s="1"/>
  <c r="AS7" i="6" l="1"/>
  <c r="GM7" i="7" s="1"/>
  <c r="AS6" i="6"/>
  <c r="GM6" i="7" s="1"/>
  <c r="W3" i="6"/>
  <c r="GL3" i="7" s="1"/>
  <c r="W6" i="6"/>
  <c r="GL6" i="7" s="1"/>
  <c r="BO5" i="6"/>
  <c r="GN5" i="7" s="1"/>
  <c r="W5" i="6"/>
  <c r="GL5" i="7" s="1"/>
  <c r="BO4" i="6"/>
  <c r="GN4" i="7" s="1"/>
  <c r="AS5" i="6"/>
  <c r="GM5" i="7" s="1"/>
  <c r="BO7" i="6"/>
  <c r="GN7" i="7" s="1"/>
</calcChain>
</file>

<file path=xl/sharedStrings.xml><?xml version="1.0" encoding="utf-8"?>
<sst xmlns="http://schemas.openxmlformats.org/spreadsheetml/2006/main" count="3762" uniqueCount="827">
  <si>
    <t>AI-Dev-Survey — Scoring sheet (wayfinder #15). Formulas only, no macros. Implements rubric/RUBRIC.md and scoring/scoring-rules.md; exports the Scored CSV described in scoring/scored-csv-schema.md.</t>
  </si>
  <si>
    <t>How to use</t>
  </si>
  <si>
    <t>1. Export responses from Microsoft Forms (Responses → Open in Excel). If columns look out of order, use ⋯ → Sync all responses to a new workbook instead.</t>
  </si>
  <si>
    <t>2. Paste the whole export sheet — header row included — over the Responses sheet here, starting at A1. Columns are matched by header text, so order does not matter; the header text must be exactly the form's statement text (survey/SURVEY.md).</t>
  </si>
  <si>
    <t>3. Values, Pattern, Export and Team are formulas over one row per response. They ship with eight rows (the fake sample). For more responses, select the last row of Values, Pattern and Export and fill down; for fewer, delete the surplus rows. Rows must be 1:1 with Responses rows 2, 3, 4 …</t>
  </si>
  <si>
    <t>4. Set Config!roster_n to the team size (the number who could have answered).</t>
  </si>
  <si>
    <t>5. Export sheet → File → Save As → CSV UTF-8 (Comma delimited) (*.csv). Save it OUTSIDE this repository (scoring/*.csv is git-ignored, but the Forms .xlsx is not — keep that outside too). Drop the CSV on dashboard/index.html.</t>
  </si>
  <si>
    <t>Acceptance test</t>
  </si>
  <si>
    <t>The Responses sheet ships filled with the eight fake personas of scoring/scored-sample.csv, converted back into Forms labels. After a full recalculation, the Export sheet must equal scored-sample.csv cell for cell (RUBRIC §8 shows Sofia Marchetti's arithmetic; Jonas Weber trips the Pattern flags). scripts/make-scoring-xlsx.mjs rebuilds this file.</t>
  </si>
  <si>
    <t>Sheets</t>
  </si>
  <si>
    <t>Config — roster size, schema version, and the three Pattern-flag thresholds (named cells).</t>
  </si>
  <si>
    <t>Responses — shaped exactly like the Forms export: five built-in columns, then one column per Likert statement or Choice question, values as label text.</t>
  </si>
  <si>
    <t>Items — every Values column: its CSV key, kind, block, reverse-key flag, short label, the Forms header it is read from, and (for multi-selects) the option text. If the form's wording changes, fix column F here.</t>
  </si>
  <si>
    <t>Values — one row per response, one column per statement: the label converted to its number (VALUE(LEFT(label,1))), N/A → NA, blank stays blank; multi-selects presence-tested per option. Rows 1–6 are metadata the formulas use.</t>
  </si>
  <si>
    <t>Pattern — #20: per block, counts per answer, mode of the non-reversed rows, reverse-key agreement, modal share, and the flat / stance-identical flags.</t>
  </si>
  <si>
    <t>Export — the Scored CSV: 293 columns, header verbatim from the schema, one formula per cell. Numbers stay in General format so nothing is rounded on save.</t>
  </si>
  <si>
    <t>Team — mean, min, max, range and n per Dimension and pass; Coverage distributions and medians. Read-only summary; the dashboard recomputes these from the CSV.</t>
  </si>
  <si>
    <t>Setting</t>
  </si>
  <si>
    <t>Value</t>
  </si>
  <si>
    <t>Notes</t>
  </si>
  <si>
    <t>roster_n</t>
  </si>
  <si>
    <t>Team size — everyone who could have answered. Exported on every row so the dashboard can show 'n of roster'.</t>
  </si>
  <si>
    <t>schema</t>
  </si>
  <si>
    <t>Scored CSV schema version. The dashboard refuses any other value.</t>
  </si>
  <si>
    <t>flat_reverse_slack</t>
  </si>
  <si>
    <t>#20: a block is flat when its reverse-keyed rows at the mode ≥ (reverse-keyed rows answered − this). 1 → 6 of 7, 4 of 5.</t>
  </si>
  <si>
    <t>flat_modal_share</t>
  </si>
  <si>
    <t>#20: a block is flat when this share of its rows carry one answer, whatever the mode.</t>
  </si>
  <si>
    <t>stance_identical_min</t>
  </si>
  <si>
    <t>#20: stance-identical flag when at least this many of the 30 Future stems match across the Me / Team blocks.</t>
  </si>
  <si>
    <t>Respondent ID</t>
  </si>
  <si>
    <t>Start time</t>
  </si>
  <si>
    <t>Completion time</t>
  </si>
  <si>
    <t>Respondent name</t>
  </si>
  <si>
    <t>Respondent email address</t>
  </si>
  <si>
    <t>GitHub Copilot</t>
  </si>
  <si>
    <t>Copilot Studio</t>
  </si>
  <si>
    <t>Microsoft 365 Copilot</t>
  </si>
  <si>
    <t>Azure AI Foundry</t>
  </si>
  <si>
    <t>Another AI tool not on this list</t>
  </si>
  <si>
    <t>How often do you use an AI tool in your development work?</t>
  </si>
  <si>
    <t>How often do you get a usable result from an AI tool within a try or two?</t>
  </si>
  <si>
    <t>How often do you let an AI tool edit files or run commands in your project?</t>
  </si>
  <si>
    <t>How often do you read AI-written code line by line before you use it?</t>
  </si>
  <si>
    <t>How often do you tell people a change was mostly written by AI?</t>
  </si>
  <si>
    <t>How often do you use AI on work that ends up in production?</t>
  </si>
  <si>
    <t>How often do you hand AI a whole task and come back to a finished change?</t>
  </si>
  <si>
    <t>How often do you deliberately give an AI tool context — pointing it at the right files, rules, or docs?</t>
  </si>
  <si>
    <t>How often do you approve an agent's steps as it goes, rather than letting it run on?</t>
  </si>
  <si>
    <t>Today: Requirements &amp; ideation</t>
  </si>
  <si>
    <t>Today: Architecture &amp; design</t>
  </si>
  <si>
    <t>Today: Writing production code</t>
  </si>
  <si>
    <t>Today: Writing tests</t>
  </si>
  <si>
    <t>Today: Code review</t>
  </si>
  <si>
    <t>Today: Debugging</t>
  </si>
  <si>
    <t>Today: Documentation</t>
  </si>
  <si>
    <t>Today: Refactoring &amp; legacy migration</t>
  </si>
  <si>
    <t>Today: CI/CD &amp; build configuration</t>
  </si>
  <si>
    <t>Today: Infrastructure-as-code</t>
  </si>
  <si>
    <t>Today: Incident response &amp; on-call</t>
  </si>
  <si>
    <t>Today: Monitoring &amp; alerting</t>
  </si>
  <si>
    <t>Today: SQL &amp; data migrations</t>
  </si>
  <si>
    <t>Today: Security review &amp; threat modeling</t>
  </si>
  <si>
    <t>Today: Dependency upgrades</t>
  </si>
  <si>
    <t>Today: Estimates &amp; planning</t>
  </si>
  <si>
    <t>Today: Stakeholder comms &amp; PR descriptions</t>
  </si>
  <si>
    <t>Today: Learning new tech</t>
  </si>
  <si>
    <t>Today: Meeting notes &amp; summaries</t>
  </si>
  <si>
    <t>I expect code an AI writes for me to be correct.</t>
  </si>
  <si>
    <t>I worry that leaning on AI will erode my own skills.</t>
  </si>
  <si>
    <t>AI-assisted work needs more review and testing than work someone wrote by hand.</t>
  </si>
  <si>
    <t>Code I ship should be something I could walk someone else through.</t>
  </si>
  <si>
    <t>I'd rather work through something myself than hand any of it to AI.</t>
  </si>
  <si>
    <t>AI-written code could introduce security problems we wouldn't catch.</t>
  </si>
  <si>
    <t>People should say when a change was mostly written by AI.</t>
  </si>
  <si>
    <t>When an AI tool doesn't give me what I need, I'm not sure what to change.</t>
  </si>
  <si>
    <t>Using AI-generated code could create licensing or IP problems for us.</t>
  </si>
  <si>
    <t>When a deadline is tight, tests and review are the first things I drop.</t>
  </si>
  <si>
    <t>There should be parts of our work where AI isn't used at all.</t>
  </si>
  <si>
    <t>Code we write with AI will be just as maintainable as anything else we write.</t>
  </si>
  <si>
    <t>I trust AI's output about as much as I'd trust a colleague's.</t>
  </si>
  <si>
    <t>Whatever we agree about AI use should be enforced by our tooling, not left to judgement.</t>
  </si>
  <si>
    <t>I expect AI to change what my job is within a few years.</t>
  </si>
  <si>
    <t>I'd hold up my own change to fix something only I would notice.</t>
  </si>
  <si>
    <t>Our current process already covers AI-assisted work; it needs nothing extra.</t>
  </si>
  <si>
    <t>Which of these, if any, do you accept today instead of reading AI's output yourself?</t>
  </si>
  <si>
    <t>I would use AI in most development work.</t>
  </si>
  <si>
    <t>I would treat AI output as correct by default, checking only when something looks off.</t>
  </si>
  <si>
    <t>I would treat skill erosion as a real risk to watch for.</t>
  </si>
  <si>
    <t>I would give AI-assisted work more review and testing than hand-written work.</t>
  </si>
  <si>
    <t>I would let AI tools edit files and run commands directly.</t>
  </si>
  <si>
    <t>I would ship only code someone could walk another person through.</t>
  </si>
  <si>
    <t>I would be able to get what's needed out of an AI tool in a try or two.</t>
  </si>
  <si>
    <t>I would merge AI-written code I had not read line by line, as long as the tests pass.</t>
  </si>
  <si>
    <t>I would use AI on work that ends up in production.</t>
  </si>
  <si>
    <t>I would treat security problems in AI-written code as a live risk to guard against.</t>
  </si>
  <si>
    <t>I would say when a change was mostly written by AI.</t>
  </si>
  <si>
    <t>I would approve an agent's steps as it goes rather than letting it run on.</t>
  </si>
  <si>
    <t>I would read AI-written code line by line before it is used.</t>
  </si>
  <si>
    <t>I would let speed win over polish more often than it does today.</t>
  </si>
  <si>
    <t>I would be happy working with no AI tooling at all, the way I worked before it existed.</t>
  </si>
  <si>
    <t>I would routinely give AI tools proper context — the right files, rules and docs.</t>
  </si>
  <si>
    <t>I would treat licensing and IP exposure from AI-generated code as a live risk.</t>
  </si>
  <si>
    <t>I would keep parts of our work where AI isn't used at all.</t>
  </si>
  <si>
    <t>I would hand AI a whole task and come back to a finished change.</t>
  </si>
  <si>
    <t>I would hold up a change to fix something only its author would notice.</t>
  </si>
  <si>
    <t>I would trust AI's output about as much as a colleague's.</t>
  </si>
  <si>
    <t>I would keep doing things by hand rather than hand them to AI.</t>
  </si>
  <si>
    <t>I would let an agent work unsupervised for an hour and only look at the final result.</t>
  </si>
  <si>
    <t>I would be relaxed about how maintainable AI-written code is.</t>
  </si>
  <si>
    <t>I would have whatever we agree about AI enforced by our tooling rather than left to judgement.</t>
  </si>
  <si>
    <t>I would use AI tools as they come out of the box, without configuring or tuning them.</t>
  </si>
  <si>
    <t>I would expect to be able to explain every line of code that ships under my name.</t>
  </si>
  <si>
    <t>I would plan for AI changing what our jobs are.</t>
  </si>
  <si>
    <t>I would need nothing beyond our current process for AI-assisted work.</t>
  </si>
  <si>
    <t>I would slow down how fast I adopt AI, because the risks outweigh what I'd gain.</t>
  </si>
  <si>
    <t>Me in 6 months: Requirements &amp; ideation</t>
  </si>
  <si>
    <t>Me in 6 months: Architecture &amp; design</t>
  </si>
  <si>
    <t>Me in 6 months: Writing production code</t>
  </si>
  <si>
    <t>Me in 6 months: Writing tests</t>
  </si>
  <si>
    <t>Me in 6 months: Code review</t>
  </si>
  <si>
    <t>Me in 6 months: Debugging</t>
  </si>
  <si>
    <t>Me in 6 months: Documentation</t>
  </si>
  <si>
    <t>Me in 6 months: Refactoring &amp; legacy migration</t>
  </si>
  <si>
    <t>Me in 6 months: CI/CD &amp; build configuration</t>
  </si>
  <si>
    <t>Me in 6 months: Infrastructure-as-code</t>
  </si>
  <si>
    <t>Me in 6 months: Incident response &amp; on-call</t>
  </si>
  <si>
    <t>Me in 6 months: Monitoring &amp; alerting</t>
  </si>
  <si>
    <t>Me in 6 months: SQL &amp; data migrations</t>
  </si>
  <si>
    <t>Me in 6 months: Security review &amp; threat modeling</t>
  </si>
  <si>
    <t>Me in 6 months: Dependency upgrades</t>
  </si>
  <si>
    <t>Me in 6 months: Estimates &amp; planning</t>
  </si>
  <si>
    <t>Me in 6 months: Stakeholder comms &amp; PR descriptions</t>
  </si>
  <si>
    <t>Me in 6 months: Learning new tech</t>
  </si>
  <si>
    <t>Me in 6 months: Meeting notes &amp; summaries</t>
  </si>
  <si>
    <t>In six months, which of these would you accept instead of reading AI's output yourself?</t>
  </si>
  <si>
    <t>The team should use AI in most development work.</t>
  </si>
  <si>
    <t>The team should treat AI output as correct by default, checking only when something looks off.</t>
  </si>
  <si>
    <t>The team should treat skill erosion as a real risk to watch for.</t>
  </si>
  <si>
    <t>The team should give AI-assisted work more review and testing than hand-written work.</t>
  </si>
  <si>
    <t>The team should let AI tools edit files and run commands directly.</t>
  </si>
  <si>
    <t>The team should ship only code someone could walk another person through.</t>
  </si>
  <si>
    <t>The team should be able to get what's needed out of an AI tool in a try or two.</t>
  </si>
  <si>
    <t>The team should merge AI-written code nobody has read line by line, as long as the tests pass.</t>
  </si>
  <si>
    <t>The team should use AI on work that ends up in production.</t>
  </si>
  <si>
    <t>The team should treat security problems in AI-written code as a live risk to guard against.</t>
  </si>
  <si>
    <t>The team should say when a change was mostly written by AI.</t>
  </si>
  <si>
    <t>The team should approve an agent's steps as it goes rather than letting it run on.</t>
  </si>
  <si>
    <t>The team should read AI-written code line by line before it is used.</t>
  </si>
  <si>
    <t>The team should let speed win over polish more often than it does today.</t>
  </si>
  <si>
    <t>The team should be fine going back to no AI tooling at all.</t>
  </si>
  <si>
    <t>The team should routinely give AI tools proper context — the right files, rules and docs.</t>
  </si>
  <si>
    <t>The team should treat licensing and IP exposure from AI-generated code as a live risk.</t>
  </si>
  <si>
    <t>The team should keep parts of our work where AI isn't used at all.</t>
  </si>
  <si>
    <t>The team should hand AI a whole task and come back to a finished change.</t>
  </si>
  <si>
    <t>The team should hold up a change to fix something only its author would notice.</t>
  </si>
  <si>
    <t>The team should trust AI's output about as much as a colleague's.</t>
  </si>
  <si>
    <t>The team should keep doing things by hand rather than hand them to AI.</t>
  </si>
  <si>
    <t>The team should let agents work unsupervised for an hour and only review the final result.</t>
  </si>
  <si>
    <t>The team should be relaxed about how maintainable AI-written code is.</t>
  </si>
  <si>
    <t>The team should have whatever we agree about AI enforced by our tooling rather than left to judgement.</t>
  </si>
  <si>
    <t>The team should use AI tools as they come out of the box, without configuring or tuning them.</t>
  </si>
  <si>
    <t>The team should expect everyone to be able to explain every line that ships under their name.</t>
  </si>
  <si>
    <t>The team should plan for AI changing what our jobs are.</t>
  </si>
  <si>
    <t>The team should need nothing beyond our current process for AI-assisted work.</t>
  </si>
  <si>
    <t>The team should slow down how fast we adopt AI, because the risks outweigh what we'd gain.</t>
  </si>
  <si>
    <t>Team in 6 months: Requirements &amp; ideation</t>
  </si>
  <si>
    <t>Team in 6 months: Architecture &amp; design</t>
  </si>
  <si>
    <t>Team in 6 months: Writing production code</t>
  </si>
  <si>
    <t>Team in 6 months: Writing tests</t>
  </si>
  <si>
    <t>Team in 6 months: Code review</t>
  </si>
  <si>
    <t>Team in 6 months: Debugging</t>
  </si>
  <si>
    <t>Team in 6 months: Documentation</t>
  </si>
  <si>
    <t>Team in 6 months: Refactoring &amp; legacy migration</t>
  </si>
  <si>
    <t>Team in 6 months: CI/CD &amp; build configuration</t>
  </si>
  <si>
    <t>Team in 6 months: Infrastructure-as-code</t>
  </si>
  <si>
    <t>Team in 6 months: Incident response &amp; on-call</t>
  </si>
  <si>
    <t>Team in 6 months: Monitoring &amp; alerting</t>
  </si>
  <si>
    <t>Team in 6 months: SQL &amp; data migrations</t>
  </si>
  <si>
    <t>Team in 6 months: Security review &amp; threat modeling</t>
  </si>
  <si>
    <t>Team in 6 months: Dependency upgrades</t>
  </si>
  <si>
    <t>Team in 6 months: Estimates &amp; planning</t>
  </si>
  <si>
    <t>Team in 6 months: Stakeholder comms &amp; PR descriptions</t>
  </si>
  <si>
    <t>Team in 6 months: Learning new tech</t>
  </si>
  <si>
    <t>Team in 6 months: Meeting notes &amp; summaries</t>
  </si>
  <si>
    <t>In six months, which of these should the team accept as enough, without an individual reading the output?</t>
  </si>
  <si>
    <t>Which of these would you want to know more about?</t>
  </si>
  <si>
    <t>Maya Okafor</t>
  </si>
  <si>
    <t>maya.okafor@example.com</t>
  </si>
  <si>
    <t>4 – Use it regularly</t>
  </si>
  <si>
    <t>2 – Tried it, not using it now</t>
  </si>
  <si>
    <t>3 – Use it occasionally</t>
  </si>
  <si>
    <t>5 – Always</t>
  </si>
  <si>
    <t>4 – Often</t>
  </si>
  <si>
    <t>2 – Rarely</t>
  </si>
  <si>
    <t>5 – Doer, spot-checked: AI does it, I spot-check</t>
  </si>
  <si>
    <t>4 – Doer, reviewed: AI does it, I review the result</t>
  </si>
  <si>
    <t>3 – Drafter: AI drafts, I rework every line</t>
  </si>
  <si>
    <t>4 – Mostly</t>
  </si>
  <si>
    <t>1 – Not at all</t>
  </si>
  <si>
    <t>2 – Slightly</t>
  </si>
  <si>
    <t>3 – Moderately</t>
  </si>
  <si>
    <t>5 – Completely</t>
  </si>
  <si>
    <t>The test suite passes; It's easy to roll back if it's wrong; An automated security or lint scan covers it</t>
  </si>
  <si>
    <t>4 – Probably</t>
  </si>
  <si>
    <t>5 – Definitely</t>
  </si>
  <si>
    <t>2 – Probably not</t>
  </si>
  <si>
    <t>1 – Definitely not</t>
  </si>
  <si>
    <t>3 – Unsure</t>
  </si>
  <si>
    <t>6 – System-verified: AI does it, checks catch errors</t>
  </si>
  <si>
    <t>The test suite passes; It's easy to roll back if it's wrong; A type check or schema validation covers it; An automated security or lint scan covers it</t>
  </si>
  <si>
    <t>A type check or schema validation covers it; The blast radius is small (docs, internal tooling, non-production)</t>
  </si>
  <si>
    <t>Tom Lindqvist</t>
  </si>
  <si>
    <t>tom.lindqvist@example.com</t>
  </si>
  <si>
    <t>1 – Never used</t>
  </si>
  <si>
    <t>1 – Never</t>
  </si>
  <si>
    <t>3 – Sometimes</t>
  </si>
  <si>
    <t>2 – Advisor: AI explains, I do the work</t>
  </si>
  <si>
    <t>1 – None: no AI</t>
  </si>
  <si>
    <t>N/A – I don't do this work</t>
  </si>
  <si>
    <t>I'd read it myself — nothing on this list changes that</t>
  </si>
  <si>
    <t>A type check or schema validation covers it</t>
  </si>
  <si>
    <t>Priya Raman</t>
  </si>
  <si>
    <t>priya.raman@example.com</t>
  </si>
  <si>
    <t>The test suite passes; The blast radius is small (docs, internal tooling, non-production)</t>
  </si>
  <si>
    <t>The test suite passes; It's easy to roll back if it's wrong; The blast radius is small (docs, internal tooling, non-production); An automated security or lint scan covers it</t>
  </si>
  <si>
    <t>Daniel Cho</t>
  </si>
  <si>
    <t>daniel.cho@example.com</t>
  </si>
  <si>
    <t>Another person reviews it</t>
  </si>
  <si>
    <t>Another person reviews it; The test suite passes</t>
  </si>
  <si>
    <t>Another person reviews it; The test suite passes; An automated security or lint scan covers it</t>
  </si>
  <si>
    <t>It's easy to roll back if it's wrong; A type check or schema validation covers it</t>
  </si>
  <si>
    <t>Sofia Marchetti</t>
  </si>
  <si>
    <t>sofia.marchetti@example.com</t>
  </si>
  <si>
    <t>I'd read it myself — nothing on this list changes that; The test suite passes</t>
  </si>
  <si>
    <t>The test suite passes; It's easy to roll back if it's wrong</t>
  </si>
  <si>
    <t>Liam O'Connor</t>
  </si>
  <si>
    <t>liam.o.connor@example.com</t>
  </si>
  <si>
    <t>Aisha Bello</t>
  </si>
  <si>
    <t>aisha.bello@example.com</t>
  </si>
  <si>
    <t>The test suite passes; A type check or schema validation covers it; An automated security or lint scan covers it</t>
  </si>
  <si>
    <t>Jonas Weber</t>
  </si>
  <si>
    <t>jonas.weber@example.com</t>
  </si>
  <si>
    <t>The test suite passes</t>
  </si>
  <si>
    <t>Key</t>
  </si>
  <si>
    <t>Kind</t>
  </si>
  <si>
    <t>Block</t>
  </si>
  <si>
    <t>Reverse</t>
  </si>
  <si>
    <t>Label</t>
  </si>
  <si>
    <t>Forms header</t>
  </si>
  <si>
    <t>Option text</t>
  </si>
  <si>
    <t>context.copilot</t>
  </si>
  <si>
    <t>context</t>
  </si>
  <si>
    <t/>
  </si>
  <si>
    <t>tool.copilot</t>
  </si>
  <si>
    <t>context.copilot-studio</t>
  </si>
  <si>
    <t>tool.copilot-studio</t>
  </si>
  <si>
    <t>context.m365-copilot</t>
  </si>
  <si>
    <t>tool.m365-copilot</t>
  </si>
  <si>
    <t>context.azure-ai-foundry</t>
  </si>
  <si>
    <t>tool.azure-ai-foundry</t>
  </si>
  <si>
    <t>context.other-tool</t>
  </si>
  <si>
    <t>tool.other-tool</t>
  </si>
  <si>
    <t>item.T1.current</t>
  </si>
  <si>
    <t>item</t>
  </si>
  <si>
    <t>current</t>
  </si>
  <si>
    <t>T1</t>
  </si>
  <si>
    <t>item.N1.current</t>
  </si>
  <si>
    <t>N1</t>
  </si>
  <si>
    <t>item.G1.current</t>
  </si>
  <si>
    <t>G1</t>
  </si>
  <si>
    <t>item.V1.current</t>
  </si>
  <si>
    <t>V1</t>
  </si>
  <si>
    <t>item.C3.current</t>
  </si>
  <si>
    <t>C3</t>
  </si>
  <si>
    <t>item.N2.current</t>
  </si>
  <si>
    <t>N2</t>
  </si>
  <si>
    <t>item.G2.current</t>
  </si>
  <si>
    <t>G2</t>
  </si>
  <si>
    <t>item.F3.current</t>
  </si>
  <si>
    <t>F3</t>
  </si>
  <si>
    <t>item.N3.current</t>
  </si>
  <si>
    <t>N3</t>
  </si>
  <si>
    <t>item.V2.current</t>
  </si>
  <si>
    <t>V2</t>
  </si>
  <si>
    <t>item.G4.current</t>
  </si>
  <si>
    <t>G4</t>
  </si>
  <si>
    <t>item.N4.current</t>
  </si>
  <si>
    <t>N4</t>
  </si>
  <si>
    <t>item.T3.current</t>
  </si>
  <si>
    <t>T3</t>
  </si>
  <si>
    <t>item.G5.current</t>
  </si>
  <si>
    <t>G5</t>
  </si>
  <si>
    <t>item.N5.current</t>
  </si>
  <si>
    <t>N5</t>
  </si>
  <si>
    <t>item.V3.current</t>
  </si>
  <si>
    <t>V3</t>
  </si>
  <si>
    <t>item.G6.current</t>
  </si>
  <si>
    <t>G6</t>
  </si>
  <si>
    <t>item.C1.current</t>
  </si>
  <si>
    <t>C1</t>
  </si>
  <si>
    <t>item.F1.current</t>
  </si>
  <si>
    <t>F1</t>
  </si>
  <si>
    <t>item.A1.current</t>
  </si>
  <si>
    <t>A1</t>
  </si>
  <si>
    <t>item.T2.current</t>
  </si>
  <si>
    <t>T2</t>
  </si>
  <si>
    <t>item.G3.current</t>
  </si>
  <si>
    <t>G3</t>
  </si>
  <si>
    <t>item.C2.current</t>
  </si>
  <si>
    <t>C2</t>
  </si>
  <si>
    <t>item.A3.current</t>
  </si>
  <si>
    <t>A3</t>
  </si>
  <si>
    <t>item.F2.current</t>
  </si>
  <si>
    <t>F2</t>
  </si>
  <si>
    <t>item.A2.current</t>
  </si>
  <si>
    <t>A2</t>
  </si>
  <si>
    <t>item.FC1.future-personal</t>
  </si>
  <si>
    <t>future-personal</t>
  </si>
  <si>
    <t>FC1/me</t>
  </si>
  <si>
    <t>item.FT1.future-personal</t>
  </si>
  <si>
    <t>FT1/me</t>
  </si>
  <si>
    <t>item.FN1.future-personal</t>
  </si>
  <si>
    <t>FN1/me</t>
  </si>
  <si>
    <t>item.FG1.future-personal</t>
  </si>
  <si>
    <t>FG1/me</t>
  </si>
  <si>
    <t>item.FA1.future-personal</t>
  </si>
  <si>
    <t>FA1/me</t>
  </si>
  <si>
    <t>item.FV1.future-personal</t>
  </si>
  <si>
    <t>FV1/me</t>
  </si>
  <si>
    <t>item.FF1.future-personal</t>
  </si>
  <si>
    <t>FF1/me</t>
  </si>
  <si>
    <t>probe.P2.future-personal</t>
  </si>
  <si>
    <t>probe</t>
  </si>
  <si>
    <t>P2/me</t>
  </si>
  <si>
    <t>item.FC2.future-personal</t>
  </si>
  <si>
    <t>FC2/me</t>
  </si>
  <si>
    <t>item.FN2.future-personal</t>
  </si>
  <si>
    <t>FN2/me</t>
  </si>
  <si>
    <t>item.FG2.future-personal</t>
  </si>
  <si>
    <t>FG2/me</t>
  </si>
  <si>
    <t>item.FA2.future-personal</t>
  </si>
  <si>
    <t>FA2/me</t>
  </si>
  <si>
    <t>item.FT2.future-personal</t>
  </si>
  <si>
    <t>FT2/me</t>
  </si>
  <si>
    <t>item.FV2.future-personal</t>
  </si>
  <si>
    <t>FV2/me</t>
  </si>
  <si>
    <t>probe.P1.future-personal</t>
  </si>
  <si>
    <t>P1/me</t>
  </si>
  <si>
    <t>item.FF2.future-personal</t>
  </si>
  <si>
    <t>FF2/me</t>
  </si>
  <si>
    <t>item.FN3.future-personal</t>
  </si>
  <si>
    <t>FN3/me</t>
  </si>
  <si>
    <t>item.FG3.future-personal</t>
  </si>
  <si>
    <t>FG3/me</t>
  </si>
  <si>
    <t>item.FA3.future-personal</t>
  </si>
  <si>
    <t>FA3/me</t>
  </si>
  <si>
    <t>item.FV3.future-personal</t>
  </si>
  <si>
    <t>FV3/me</t>
  </si>
  <si>
    <t>item.FT3.future-personal</t>
  </si>
  <si>
    <t>FT3/me</t>
  </si>
  <si>
    <t>item.FC3.future-personal</t>
  </si>
  <si>
    <t>FC3/me</t>
  </si>
  <si>
    <t>probe.P3.future-personal</t>
  </si>
  <si>
    <t>P3/me</t>
  </si>
  <si>
    <t>item.FN4.future-personal</t>
  </si>
  <si>
    <t>FN4/me</t>
  </si>
  <si>
    <t>item.FG4.future-personal</t>
  </si>
  <si>
    <t>FG4/me</t>
  </si>
  <si>
    <t>item.FF3.future-personal</t>
  </si>
  <si>
    <t>FF3/me</t>
  </si>
  <si>
    <t>probe.P5.future-personal</t>
  </si>
  <si>
    <t>P5/me</t>
  </si>
  <si>
    <t>item.FN5.future-personal</t>
  </si>
  <si>
    <t>FN5/me</t>
  </si>
  <si>
    <t>item.FG5.future-personal</t>
  </si>
  <si>
    <t>FG5/me</t>
  </si>
  <si>
    <t>probe.P4.future-personal</t>
  </si>
  <si>
    <t>P4/me</t>
  </si>
  <si>
    <t>item.FC1.future-team</t>
  </si>
  <si>
    <t>future-team</t>
  </si>
  <si>
    <t>FC1/team</t>
  </si>
  <si>
    <t>item.FT1.future-team</t>
  </si>
  <si>
    <t>FT1/team</t>
  </si>
  <si>
    <t>item.FN1.future-team</t>
  </si>
  <si>
    <t>FN1/team</t>
  </si>
  <si>
    <t>item.FG1.future-team</t>
  </si>
  <si>
    <t>FG1/team</t>
  </si>
  <si>
    <t>item.FA1.future-team</t>
  </si>
  <si>
    <t>FA1/team</t>
  </si>
  <si>
    <t>item.FV1.future-team</t>
  </si>
  <si>
    <t>FV1/team</t>
  </si>
  <si>
    <t>item.FF1.future-team</t>
  </si>
  <si>
    <t>FF1/team</t>
  </si>
  <si>
    <t>probe.P2.future-team</t>
  </si>
  <si>
    <t>P2/team</t>
  </si>
  <si>
    <t>item.FC2.future-team</t>
  </si>
  <si>
    <t>FC2/team</t>
  </si>
  <si>
    <t>item.FN2.future-team</t>
  </si>
  <si>
    <t>FN2/team</t>
  </si>
  <si>
    <t>item.FG2.future-team</t>
  </si>
  <si>
    <t>FG2/team</t>
  </si>
  <si>
    <t>item.FA2.future-team</t>
  </si>
  <si>
    <t>FA2/team</t>
  </si>
  <si>
    <t>item.FT2.future-team</t>
  </si>
  <si>
    <t>FT2/team</t>
  </si>
  <si>
    <t>item.FV2.future-team</t>
  </si>
  <si>
    <t>FV2/team</t>
  </si>
  <si>
    <t>probe.P1.future-team</t>
  </si>
  <si>
    <t>P1/team</t>
  </si>
  <si>
    <t>item.FF2.future-team</t>
  </si>
  <si>
    <t>FF2/team</t>
  </si>
  <si>
    <t>item.FN3.future-team</t>
  </si>
  <si>
    <t>FN3/team</t>
  </si>
  <si>
    <t>item.FG3.future-team</t>
  </si>
  <si>
    <t>FG3/team</t>
  </si>
  <si>
    <t>item.FA3.future-team</t>
  </si>
  <si>
    <t>FA3/team</t>
  </si>
  <si>
    <t>item.FV3.future-team</t>
  </si>
  <si>
    <t>FV3/team</t>
  </si>
  <si>
    <t>item.FT3.future-team</t>
  </si>
  <si>
    <t>FT3/team</t>
  </si>
  <si>
    <t>item.FC3.future-team</t>
  </si>
  <si>
    <t>FC3/team</t>
  </si>
  <si>
    <t>probe.P3.future-team</t>
  </si>
  <si>
    <t>P3/team</t>
  </si>
  <si>
    <t>item.FN4.future-team</t>
  </si>
  <si>
    <t>FN4/team</t>
  </si>
  <si>
    <t>item.FG4.future-team</t>
  </si>
  <si>
    <t>FG4/team</t>
  </si>
  <si>
    <t>item.FF3.future-team</t>
  </si>
  <si>
    <t>FF3/team</t>
  </si>
  <si>
    <t>probe.P5.future-team</t>
  </si>
  <si>
    <t>P5/team</t>
  </si>
  <si>
    <t>item.FN5.future-team</t>
  </si>
  <si>
    <t>FN5/team</t>
  </si>
  <si>
    <t>item.FG5.future-team</t>
  </si>
  <si>
    <t>FG5/team</t>
  </si>
  <si>
    <t>probe.P4.future-team</t>
  </si>
  <si>
    <t>P4/team</t>
  </si>
  <si>
    <t>area.requirements.current</t>
  </si>
  <si>
    <t>area</t>
  </si>
  <si>
    <t>requirements.current</t>
  </si>
  <si>
    <t>area.architecture.current</t>
  </si>
  <si>
    <t>architecture.current</t>
  </si>
  <si>
    <t>area.production-code.current</t>
  </si>
  <si>
    <t>production-code.current</t>
  </si>
  <si>
    <t>area.tests.current</t>
  </si>
  <si>
    <t>tests.current</t>
  </si>
  <si>
    <t>area.code-review.current</t>
  </si>
  <si>
    <t>code-review.current</t>
  </si>
  <si>
    <t>area.debugging.current</t>
  </si>
  <si>
    <t>debugging.current</t>
  </si>
  <si>
    <t>area.documentation.current</t>
  </si>
  <si>
    <t>documentation.current</t>
  </si>
  <si>
    <t>area.refactoring.current</t>
  </si>
  <si>
    <t>refactoring.current</t>
  </si>
  <si>
    <t>area.ci-cd.current</t>
  </si>
  <si>
    <t>ci-cd.current</t>
  </si>
  <si>
    <t>area.infrastructure.current</t>
  </si>
  <si>
    <t>infrastructure.current</t>
  </si>
  <si>
    <t>area.incident-response.current</t>
  </si>
  <si>
    <t>incident-response.current</t>
  </si>
  <si>
    <t>area.monitoring.current</t>
  </si>
  <si>
    <t>monitoring.current</t>
  </si>
  <si>
    <t>area.data-migrations.current</t>
  </si>
  <si>
    <t>data-migrations.current</t>
  </si>
  <si>
    <t>area.security-review.current</t>
  </si>
  <si>
    <t>security-review.current</t>
  </si>
  <si>
    <t>area.dependency-upgrades.current</t>
  </si>
  <si>
    <t>dependency-upgrades.current</t>
  </si>
  <si>
    <t>area.estimates.current</t>
  </si>
  <si>
    <t>estimates.current</t>
  </si>
  <si>
    <t>area.stakeholder-comms.current</t>
  </si>
  <si>
    <t>stakeholder-comms.current</t>
  </si>
  <si>
    <t>area.learning.current</t>
  </si>
  <si>
    <t>learning.current</t>
  </si>
  <si>
    <t>area.meeting-notes.current</t>
  </si>
  <si>
    <t>meeting-notes.current</t>
  </si>
  <si>
    <t>area.requirements.future-personal</t>
  </si>
  <si>
    <t>requirements.future-personal</t>
  </si>
  <si>
    <t>area.architecture.future-personal</t>
  </si>
  <si>
    <t>architecture.future-personal</t>
  </si>
  <si>
    <t>area.production-code.future-personal</t>
  </si>
  <si>
    <t>production-code.future-personal</t>
  </si>
  <si>
    <t>area.tests.future-personal</t>
  </si>
  <si>
    <t>tests.future-personal</t>
  </si>
  <si>
    <t>area.code-review.future-personal</t>
  </si>
  <si>
    <t>code-review.future-personal</t>
  </si>
  <si>
    <t>area.debugging.future-personal</t>
  </si>
  <si>
    <t>debugging.future-personal</t>
  </si>
  <si>
    <t>area.documentation.future-personal</t>
  </si>
  <si>
    <t>documentation.future-personal</t>
  </si>
  <si>
    <t>area.refactoring.future-personal</t>
  </si>
  <si>
    <t>refactoring.future-personal</t>
  </si>
  <si>
    <t>area.ci-cd.future-personal</t>
  </si>
  <si>
    <t>ci-cd.future-personal</t>
  </si>
  <si>
    <t>area.infrastructure.future-personal</t>
  </si>
  <si>
    <t>infrastructure.future-personal</t>
  </si>
  <si>
    <t>area.incident-response.future-personal</t>
  </si>
  <si>
    <t>incident-response.future-personal</t>
  </si>
  <si>
    <t>area.monitoring.future-personal</t>
  </si>
  <si>
    <t>monitoring.future-personal</t>
  </si>
  <si>
    <t>area.data-migrations.future-personal</t>
  </si>
  <si>
    <t>data-migrations.future-personal</t>
  </si>
  <si>
    <t>area.security-review.future-personal</t>
  </si>
  <si>
    <t>security-review.future-personal</t>
  </si>
  <si>
    <t>area.dependency-upgrades.future-personal</t>
  </si>
  <si>
    <t>dependency-upgrades.future-personal</t>
  </si>
  <si>
    <t>area.estimates.future-personal</t>
  </si>
  <si>
    <t>estimates.future-personal</t>
  </si>
  <si>
    <t>area.stakeholder-comms.future-personal</t>
  </si>
  <si>
    <t>stakeholder-comms.future-personal</t>
  </si>
  <si>
    <t>area.learning.future-personal</t>
  </si>
  <si>
    <t>learning.future-personal</t>
  </si>
  <si>
    <t>area.meeting-notes.future-personal</t>
  </si>
  <si>
    <t>meeting-notes.future-personal</t>
  </si>
  <si>
    <t>area.requirements.future-team</t>
  </si>
  <si>
    <t>requirements.future-team</t>
  </si>
  <si>
    <t>area.architecture.future-team</t>
  </si>
  <si>
    <t>architecture.future-team</t>
  </si>
  <si>
    <t>area.production-code.future-team</t>
  </si>
  <si>
    <t>production-code.future-team</t>
  </si>
  <si>
    <t>area.tests.future-team</t>
  </si>
  <si>
    <t>tests.future-team</t>
  </si>
  <si>
    <t>area.code-review.future-team</t>
  </si>
  <si>
    <t>code-review.future-team</t>
  </si>
  <si>
    <t>area.debugging.future-team</t>
  </si>
  <si>
    <t>debugging.future-team</t>
  </si>
  <si>
    <t>area.documentation.future-team</t>
  </si>
  <si>
    <t>documentation.future-team</t>
  </si>
  <si>
    <t>area.refactoring.future-team</t>
  </si>
  <si>
    <t>refactoring.future-team</t>
  </si>
  <si>
    <t>area.ci-cd.future-team</t>
  </si>
  <si>
    <t>ci-cd.future-team</t>
  </si>
  <si>
    <t>area.infrastructure.future-team</t>
  </si>
  <si>
    <t>infrastructure.future-team</t>
  </si>
  <si>
    <t>area.incident-response.future-team</t>
  </si>
  <si>
    <t>incident-response.future-team</t>
  </si>
  <si>
    <t>area.monitoring.future-team</t>
  </si>
  <si>
    <t>monitoring.future-team</t>
  </si>
  <si>
    <t>area.data-migrations.future-team</t>
  </si>
  <si>
    <t>data-migrations.future-team</t>
  </si>
  <si>
    <t>area.security-review.future-team</t>
  </si>
  <si>
    <t>security-review.future-team</t>
  </si>
  <si>
    <t>area.dependency-upgrades.future-team</t>
  </si>
  <si>
    <t>dependency-upgrades.future-team</t>
  </si>
  <si>
    <t>area.estimates.future-team</t>
  </si>
  <si>
    <t>estimates.future-team</t>
  </si>
  <si>
    <t>area.stakeholder-comms.future-team</t>
  </si>
  <si>
    <t>stakeholder-comms.future-team</t>
  </si>
  <si>
    <t>area.learning.future-team</t>
  </si>
  <si>
    <t>learning.future-team</t>
  </si>
  <si>
    <t>area.meeting-notes.future-team</t>
  </si>
  <si>
    <t>meeting-notes.future-team</t>
  </si>
  <si>
    <t>safeguard.read-myself.current</t>
  </si>
  <si>
    <t>safeguard</t>
  </si>
  <si>
    <t>safeguard.another-person.current</t>
  </si>
  <si>
    <t>safeguard.tests.current</t>
  </si>
  <si>
    <t>safeguard.rollback.current</t>
  </si>
  <si>
    <t>It's easy to roll back if it's wrong</t>
  </si>
  <si>
    <t>safeguard.schema-check.current</t>
  </si>
  <si>
    <t>safeguard.small-blast-radius.current</t>
  </si>
  <si>
    <t>The blast radius is small (docs, internal tooling, non-production)</t>
  </si>
  <si>
    <t>safeguard.security-scan.current</t>
  </si>
  <si>
    <t>An automated security or lint scan covers it</t>
  </si>
  <si>
    <t>safeguard.read-myself.future-personal</t>
  </si>
  <si>
    <t>safeguard.another-person.future-personal</t>
  </si>
  <si>
    <t>safeguard.tests.future-personal</t>
  </si>
  <si>
    <t>safeguard.rollback.future-personal</t>
  </si>
  <si>
    <t>safeguard.schema-check.future-personal</t>
  </si>
  <si>
    <t>safeguard.small-blast-radius.future-personal</t>
  </si>
  <si>
    <t>safeguard.security-scan.future-personal</t>
  </si>
  <si>
    <t>safeguard.read-myself.future-team</t>
  </si>
  <si>
    <t>safeguard.another-person.future-team</t>
  </si>
  <si>
    <t>safeguard.tests.future-team</t>
  </si>
  <si>
    <t>safeguard.rollback.future-team</t>
  </si>
  <si>
    <t>safeguard.schema-check.future-team</t>
  </si>
  <si>
    <t>safeguard.small-blast-radius.future-team</t>
  </si>
  <si>
    <t>safeguard.security-scan.future-team</t>
  </si>
  <si>
    <t>learn.read-myself</t>
  </si>
  <si>
    <t>learn</t>
  </si>
  <si>
    <t>learn.another-person</t>
  </si>
  <si>
    <t>learn.tests</t>
  </si>
  <si>
    <t>learn.rollback</t>
  </si>
  <si>
    <t>learn.schema-check</t>
  </si>
  <si>
    <t>learn.small-blast-radius</t>
  </si>
  <si>
    <t>learn.security-scan</t>
  </si>
  <si>
    <t>key</t>
  </si>
  <si>
    <t>kind</t>
  </si>
  <si>
    <t>block</t>
  </si>
  <si>
    <t>reverse</t>
  </si>
  <si>
    <t>label</t>
  </si>
  <si>
    <t>Respondent</t>
  </si>
  <si>
    <t>current.c1</t>
  </si>
  <si>
    <t>current.c2</t>
  </si>
  <si>
    <t>current.c3</t>
  </si>
  <si>
    <t>current.c4</t>
  </si>
  <si>
    <t>current.c5</t>
  </si>
  <si>
    <t>current.a1</t>
  </si>
  <si>
    <t>current.a2</t>
  </si>
  <si>
    <t>current.a3</t>
  </si>
  <si>
    <t>current.a4</t>
  </si>
  <si>
    <t>current.a5</t>
  </si>
  <si>
    <t>current.top</t>
  </si>
  <si>
    <t>current.ntie</t>
  </si>
  <si>
    <t>current.s1</t>
  </si>
  <si>
    <t>current.s2</t>
  </si>
  <si>
    <t>current.s3</t>
  </si>
  <si>
    <t>current.s4</t>
  </si>
  <si>
    <t>current.s5</t>
  </si>
  <si>
    <t>current.mode</t>
  </si>
  <si>
    <t>current.agree</t>
  </si>
  <si>
    <t>current.nrev</t>
  </si>
  <si>
    <t>current.share</t>
  </si>
  <si>
    <t>current.flat</t>
  </si>
  <si>
    <t>fp.c1</t>
  </si>
  <si>
    <t>fp.c2</t>
  </si>
  <si>
    <t>fp.c3</t>
  </si>
  <si>
    <t>fp.c4</t>
  </si>
  <si>
    <t>fp.c5</t>
  </si>
  <si>
    <t>fp.a1</t>
  </si>
  <si>
    <t>fp.a2</t>
  </si>
  <si>
    <t>fp.a3</t>
  </si>
  <si>
    <t>fp.a4</t>
  </si>
  <si>
    <t>fp.a5</t>
  </si>
  <si>
    <t>fp.top</t>
  </si>
  <si>
    <t>fp.ntie</t>
  </si>
  <si>
    <t>fp.s1</t>
  </si>
  <si>
    <t>fp.s2</t>
  </si>
  <si>
    <t>fp.s3</t>
  </si>
  <si>
    <t>fp.s4</t>
  </si>
  <si>
    <t>fp.s5</t>
  </si>
  <si>
    <t>fp.mode</t>
  </si>
  <si>
    <t>fp.agree</t>
  </si>
  <si>
    <t>fp.nrev</t>
  </si>
  <si>
    <t>fp.share</t>
  </si>
  <si>
    <t>fp.flat</t>
  </si>
  <si>
    <t>ft.c1</t>
  </si>
  <si>
    <t>ft.c2</t>
  </si>
  <si>
    <t>ft.c3</t>
  </si>
  <si>
    <t>ft.c4</t>
  </si>
  <si>
    <t>ft.c5</t>
  </si>
  <si>
    <t>ft.a1</t>
  </si>
  <si>
    <t>ft.a2</t>
  </si>
  <si>
    <t>ft.a3</t>
  </si>
  <si>
    <t>ft.a4</t>
  </si>
  <si>
    <t>ft.a5</t>
  </si>
  <si>
    <t>ft.top</t>
  </si>
  <si>
    <t>ft.ntie</t>
  </si>
  <si>
    <t>ft.s1</t>
  </si>
  <si>
    <t>ft.s2</t>
  </si>
  <si>
    <t>ft.s3</t>
  </si>
  <si>
    <t>ft.s4</t>
  </si>
  <si>
    <t>ft.s5</t>
  </si>
  <si>
    <t>ft.mode</t>
  </si>
  <si>
    <t>ft.agree</t>
  </si>
  <si>
    <t>ft.nrev</t>
  </si>
  <si>
    <t>ft.share</t>
  </si>
  <si>
    <t>ft.flat</t>
  </si>
  <si>
    <t>identical</t>
  </si>
  <si>
    <t>copy</t>
  </si>
  <si>
    <t>respondent</t>
  </si>
  <si>
    <t>completed</t>
  </si>
  <si>
    <t>dimension.comfort.current</t>
  </si>
  <si>
    <t>dimension.comfort.future-personal</t>
  </si>
  <si>
    <t>dimension.comfort.future-team</t>
  </si>
  <si>
    <t>dimension.trust.current</t>
  </si>
  <si>
    <t>dimension.trust.future-personal</t>
  </si>
  <si>
    <t>dimension.trust.future-team</t>
  </si>
  <si>
    <t>dimension.fluency.current</t>
  </si>
  <si>
    <t>dimension.fluency.future-personal</t>
  </si>
  <si>
    <t>dimension.fluency.future-team</t>
  </si>
  <si>
    <t>dimension.guardrails.current</t>
  </si>
  <si>
    <t>dimension.guardrails.future-personal</t>
  </si>
  <si>
    <t>dimension.guardrails.future-team</t>
  </si>
  <si>
    <t>dimension.concern.current</t>
  </si>
  <si>
    <t>dimension.concern.future-personal</t>
  </si>
  <si>
    <t>dimension.concern.future-team</t>
  </si>
  <si>
    <t>dimension.autonomy.current</t>
  </si>
  <si>
    <t>dimension.autonomy.future-personal</t>
  </si>
  <si>
    <t>dimension.autonomy.future-team</t>
  </si>
  <si>
    <t>dimension.craft-values.current</t>
  </si>
  <si>
    <t>dimension.craft-values.future-personal</t>
  </si>
  <si>
    <t>dimension.craft-values.future-team</t>
  </si>
  <si>
    <t>gap.comfort.personal</t>
  </si>
  <si>
    <t>gap.comfort.stance</t>
  </si>
  <si>
    <t>gap.trust.personal</t>
  </si>
  <si>
    <t>gap.trust.stance</t>
  </si>
  <si>
    <t>gap.fluency.personal</t>
  </si>
  <si>
    <t>gap.fluency.stance</t>
  </si>
  <si>
    <t>gap.guardrails.personal</t>
  </si>
  <si>
    <t>gap.guardrails.stance</t>
  </si>
  <si>
    <t>gap.concern.personal</t>
  </si>
  <si>
    <t>gap.concern.stance</t>
  </si>
  <si>
    <t>gap.autonomy.personal</t>
  </si>
  <si>
    <t>gap.autonomy.stance</t>
  </si>
  <si>
    <t>gap.craft-values.personal</t>
  </si>
  <si>
    <t>gap.craft-values.stance</t>
  </si>
  <si>
    <t>area-gap.requirements.personal</t>
  </si>
  <si>
    <t>area-gap.requirements.stance</t>
  </si>
  <si>
    <t>area-gap.architecture.personal</t>
  </si>
  <si>
    <t>area-gap.architecture.stance</t>
  </si>
  <si>
    <t>area-gap.production-code.personal</t>
  </si>
  <si>
    <t>area-gap.production-code.stance</t>
  </si>
  <si>
    <t>area-gap.tests.personal</t>
  </si>
  <si>
    <t>area-gap.tests.stance</t>
  </si>
  <si>
    <t>area-gap.code-review.personal</t>
  </si>
  <si>
    <t>area-gap.code-review.stance</t>
  </si>
  <si>
    <t>area-gap.debugging.personal</t>
  </si>
  <si>
    <t>area-gap.debugging.stance</t>
  </si>
  <si>
    <t>area-gap.documentation.personal</t>
  </si>
  <si>
    <t>area-gap.documentation.stance</t>
  </si>
  <si>
    <t>area-gap.refactoring.personal</t>
  </si>
  <si>
    <t>area-gap.refactoring.stance</t>
  </si>
  <si>
    <t>area-gap.ci-cd.personal</t>
  </si>
  <si>
    <t>area-gap.ci-cd.stance</t>
  </si>
  <si>
    <t>area-gap.infrastructure.personal</t>
  </si>
  <si>
    <t>area-gap.infrastructure.stance</t>
  </si>
  <si>
    <t>area-gap.incident-response.personal</t>
  </si>
  <si>
    <t>area-gap.incident-response.stance</t>
  </si>
  <si>
    <t>area-gap.monitoring.personal</t>
  </si>
  <si>
    <t>area-gap.monitoring.stance</t>
  </si>
  <si>
    <t>area-gap.data-migrations.personal</t>
  </si>
  <si>
    <t>area-gap.data-migrations.stance</t>
  </si>
  <si>
    <t>area-gap.security-review.personal</t>
  </si>
  <si>
    <t>area-gap.security-review.stance</t>
  </si>
  <si>
    <t>area-gap.dependency-upgrades.personal</t>
  </si>
  <si>
    <t>area-gap.dependency-upgrades.stance</t>
  </si>
  <si>
    <t>area-gap.estimates.personal</t>
  </si>
  <si>
    <t>area-gap.estimates.stance</t>
  </si>
  <si>
    <t>area-gap.stakeholder-comms.personal</t>
  </si>
  <si>
    <t>area-gap.stakeholder-comms.stance</t>
  </si>
  <si>
    <t>area-gap.learning.personal</t>
  </si>
  <si>
    <t>area-gap.learning.stance</t>
  </si>
  <si>
    <t>area-gap.meeting-notes.personal</t>
  </si>
  <si>
    <t>area-gap.meeting-notes.stance</t>
  </si>
  <si>
    <t>edge.P1.future-personal</t>
  </si>
  <si>
    <t>edge.P1.future-team</t>
  </si>
  <si>
    <t>edge.P2.future-personal</t>
  </si>
  <si>
    <t>edge.P2.future-team</t>
  </si>
  <si>
    <t>edge.P3.future-personal</t>
  </si>
  <si>
    <t>edge.P3.future-team</t>
  </si>
  <si>
    <t>edge.P4.future-personal</t>
  </si>
  <si>
    <t>edge.P4.future-team</t>
  </si>
  <si>
    <t>edge.P5.future-personal</t>
  </si>
  <si>
    <t>edge.P5.future-team</t>
  </si>
  <si>
    <t>lever.another-person</t>
  </si>
  <si>
    <t>lever.tests</t>
  </si>
  <si>
    <t>lever.rollback</t>
  </si>
  <si>
    <t>lever.schema-check</t>
  </si>
  <si>
    <t>lever.small-blast-radius</t>
  </si>
  <si>
    <t>lever.security-scan</t>
  </si>
  <si>
    <t>interest.another-person</t>
  </si>
  <si>
    <t>interest.tests</t>
  </si>
  <si>
    <t>interest.rollback</t>
  </si>
  <si>
    <t>interest.schema-check</t>
  </si>
  <si>
    <t>interest.small-blast-radius</t>
  </si>
  <si>
    <t>interest.security-scan</t>
  </si>
  <si>
    <t>flag.malformed</t>
  </si>
  <si>
    <t>flag.inconsistent-current</t>
  </si>
  <si>
    <t>flag.inconsistent-future-personal</t>
  </si>
  <si>
    <t>flag.inconsistent-future-team</t>
  </si>
  <si>
    <t>flag.hold</t>
  </si>
  <si>
    <t>flag.flat-current</t>
  </si>
  <si>
    <t>flag.flat-future-personal</t>
  </si>
  <si>
    <t>flag.flat-future-team</t>
  </si>
  <si>
    <t>flag.stance-identical</t>
  </si>
  <si>
    <t>pattern.mode.current</t>
  </si>
  <si>
    <t>pattern.mode.future-personal</t>
  </si>
  <si>
    <t>pattern.mode.future-team</t>
  </si>
  <si>
    <t>pattern.modal-share.current</t>
  </si>
  <si>
    <t>pattern.modal-share.future-personal</t>
  </si>
  <si>
    <t>pattern.modal-share.future-team</t>
  </si>
  <si>
    <t>pattern.reverse-agree.current</t>
  </si>
  <si>
    <t>pattern.reverse-agree.future-personal</t>
  </si>
  <si>
    <t>pattern.reverse-agree.future-team</t>
  </si>
  <si>
    <t>pattern.stance-identical</t>
  </si>
  <si>
    <t>Dimension</t>
  </si>
  <si>
    <t>Pass</t>
  </si>
  <si>
    <t>Mean</t>
  </si>
  <si>
    <t>Min</t>
  </si>
  <si>
    <t>Max</t>
  </si>
  <si>
    <t>Range</t>
  </si>
  <si>
    <t>n</t>
  </si>
  <si>
    <t>Malformed (excluded)</t>
  </si>
  <si>
    <t>comfort</t>
  </si>
  <si>
    <t>trust</t>
  </si>
  <si>
    <t>fluency</t>
  </si>
  <si>
    <t>guardrails</t>
  </si>
  <si>
    <t>concern</t>
  </si>
  <si>
    <t>autonomy</t>
  </si>
  <si>
    <t>craft-values</t>
  </si>
  <si>
    <t>Team personal Gap (mean of gap.*.personal)</t>
  </si>
  <si>
    <t>Norm gap (mean future-team − mean current)</t>
  </si>
  <si>
    <t>Stance gap mean</t>
  </si>
  <si>
    <t>Area</t>
  </si>
  <si>
    <t>1 None</t>
  </si>
  <si>
    <t>2 Advisor</t>
  </si>
  <si>
    <t>3 Drafter</t>
  </si>
  <si>
    <t>4 Doer, reviewed</t>
  </si>
  <si>
    <t>5 Doer, spot-checked</t>
  </si>
  <si>
    <t>6 System-verified</t>
  </si>
  <si>
    <t>N/A</t>
  </si>
  <si>
    <t>Median (lower middle)</t>
  </si>
  <si>
    <t>requirements</t>
  </si>
  <si>
    <t>architecture</t>
  </si>
  <si>
    <t>production-code</t>
  </si>
  <si>
    <t>tests</t>
  </si>
  <si>
    <t>code-review</t>
  </si>
  <si>
    <t>debugging</t>
  </si>
  <si>
    <t>documentation</t>
  </si>
  <si>
    <t>refactoring</t>
  </si>
  <si>
    <t>ci-cd</t>
  </si>
  <si>
    <t>infrastructure</t>
  </si>
  <si>
    <t>incident-response</t>
  </si>
  <si>
    <t>monitoring</t>
  </si>
  <si>
    <t>data-migrations</t>
  </si>
  <si>
    <t>security-review</t>
  </si>
  <si>
    <t>dependency-upgrades</t>
  </si>
  <si>
    <t>estimates</t>
  </si>
  <si>
    <t>stakeholder-comms</t>
  </si>
  <si>
    <t>learning</t>
  </si>
  <si>
    <t>meeting-notes</t>
  </si>
  <si>
    <t>Coverage Gap — median of within-person moves (levels)</t>
  </si>
  <si>
    <t>pairs</t>
  </si>
  <si>
    <t>Stance gap — median (levels)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</si>
</sst>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0"/>
  <sheetViews>
    <sheetView tabSelected="1" workbookViewId="0"/>
  </sheetViews>
  <sheetFormatPr defaultRowHeight="14.25" x14ac:dyDescent="0.45"/>
  <sheetData>
    <row r="1" spans="1:1" x14ac:dyDescent="0.45">
      <c r="A1" t="s">
        <v>0</v>
      </c>
    </row>
    <row r="3" spans="1:1" x14ac:dyDescent="0.45">
      <c r="A3" t="s">
        <v>1</v>
      </c>
    </row>
    <row r="4" spans="1:1" x14ac:dyDescent="0.45">
      <c r="A4" t="s">
        <v>2</v>
      </c>
    </row>
    <row r="5" spans="1:1" x14ac:dyDescent="0.45">
      <c r="A5" t="s">
        <v>3</v>
      </c>
    </row>
    <row r="6" spans="1:1" x14ac:dyDescent="0.45">
      <c r="A6" t="s">
        <v>4</v>
      </c>
    </row>
    <row r="7" spans="1:1" x14ac:dyDescent="0.45">
      <c r="A7" t="s">
        <v>5</v>
      </c>
    </row>
    <row r="8" spans="1:1" x14ac:dyDescent="0.45">
      <c r="A8" t="s">
        <v>6</v>
      </c>
    </row>
    <row r="10" spans="1:1" x14ac:dyDescent="0.45">
      <c r="A10" t="s">
        <v>7</v>
      </c>
    </row>
    <row r="11" spans="1:1" x14ac:dyDescent="0.45">
      <c r="A11" t="s">
        <v>8</v>
      </c>
    </row>
    <row r="13" spans="1:1" x14ac:dyDescent="0.45">
      <c r="A13" t="s">
        <v>9</v>
      </c>
    </row>
    <row r="14" spans="1:1" x14ac:dyDescent="0.45">
      <c r="A14" t="s">
        <v>10</v>
      </c>
    </row>
    <row r="15" spans="1:1" x14ac:dyDescent="0.45">
      <c r="A15" t="s">
        <v>11</v>
      </c>
    </row>
    <row r="16" spans="1:1" x14ac:dyDescent="0.45">
      <c r="A16" t="s">
        <v>12</v>
      </c>
    </row>
    <row r="17" spans="1:1" x14ac:dyDescent="0.45">
      <c r="A17" t="s">
        <v>13</v>
      </c>
    </row>
    <row r="18" spans="1:1" x14ac:dyDescent="0.45">
      <c r="A18" t="s">
        <v>14</v>
      </c>
    </row>
    <row r="19" spans="1:1" x14ac:dyDescent="0.45">
      <c r="A19" t="s">
        <v>15</v>
      </c>
    </row>
    <row r="20" spans="1:1" x14ac:dyDescent="0.45">
      <c r="A20" t="s">
        <v>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6"/>
  <sheetViews>
    <sheetView workbookViewId="0"/>
  </sheetViews>
  <sheetFormatPr defaultRowHeight="14.25" x14ac:dyDescent="0.45"/>
  <sheetData>
    <row r="1" spans="1:3" x14ac:dyDescent="0.45">
      <c r="A1" t="s">
        <v>17</v>
      </c>
      <c r="B1" t="s">
        <v>18</v>
      </c>
      <c r="C1" t="s">
        <v>19</v>
      </c>
    </row>
    <row r="2" spans="1:3" x14ac:dyDescent="0.45">
      <c r="A2" t="s">
        <v>20</v>
      </c>
      <c r="B2">
        <v>9</v>
      </c>
      <c r="C2" t="s">
        <v>21</v>
      </c>
    </row>
    <row r="3" spans="1:3" x14ac:dyDescent="0.45">
      <c r="A3" t="s">
        <v>22</v>
      </c>
      <c r="B3">
        <v>1</v>
      </c>
      <c r="C3" t="s">
        <v>23</v>
      </c>
    </row>
    <row r="4" spans="1:3" x14ac:dyDescent="0.45">
      <c r="A4" t="s">
        <v>24</v>
      </c>
      <c r="B4">
        <v>1</v>
      </c>
      <c r="C4" t="s">
        <v>25</v>
      </c>
    </row>
    <row r="5" spans="1:3" x14ac:dyDescent="0.45">
      <c r="A5" t="s">
        <v>26</v>
      </c>
      <c r="B5">
        <v>0.9</v>
      </c>
      <c r="C5" t="s">
        <v>27</v>
      </c>
    </row>
    <row r="6" spans="1:3" x14ac:dyDescent="0.45">
      <c r="A6" t="s">
        <v>28</v>
      </c>
      <c r="B6">
        <v>28</v>
      </c>
      <c r="C6" t="s">
        <v>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A9"/>
  <sheetViews>
    <sheetView workbookViewId="0"/>
  </sheetViews>
  <sheetFormatPr defaultRowHeight="14.25" x14ac:dyDescent="0.45"/>
  <sheetData>
    <row r="1" spans="1:157" x14ac:dyDescent="0.45">
      <c r="A1" t="s">
        <v>30</v>
      </c>
      <c r="B1" t="s">
        <v>31</v>
      </c>
      <c r="C1" t="s">
        <v>32</v>
      </c>
      <c r="D1" t="s">
        <v>33</v>
      </c>
      <c r="E1" t="s">
        <v>34</v>
      </c>
      <c r="F1" t="s">
        <v>35</v>
      </c>
      <c r="G1" t="s">
        <v>36</v>
      </c>
      <c r="H1" t="s">
        <v>37</v>
      </c>
      <c r="I1" t="s">
        <v>38</v>
      </c>
      <c r="J1" t="s">
        <v>39</v>
      </c>
      <c r="K1" t="s">
        <v>40</v>
      </c>
      <c r="L1" t="s">
        <v>41</v>
      </c>
      <c r="M1" t="s">
        <v>42</v>
      </c>
      <c r="N1" t="s">
        <v>43</v>
      </c>
      <c r="O1" t="s">
        <v>44</v>
      </c>
      <c r="P1" t="s">
        <v>45</v>
      </c>
      <c r="Q1" t="s">
        <v>46</v>
      </c>
      <c r="R1" t="s">
        <v>47</v>
      </c>
      <c r="S1" t="s">
        <v>48</v>
      </c>
      <c r="T1" t="s">
        <v>49</v>
      </c>
      <c r="U1" t="s">
        <v>50</v>
      </c>
      <c r="V1" t="s">
        <v>51</v>
      </c>
      <c r="W1" t="s">
        <v>52</v>
      </c>
      <c r="X1" t="s">
        <v>53</v>
      </c>
      <c r="Y1" t="s">
        <v>54</v>
      </c>
      <c r="Z1" t="s">
        <v>55</v>
      </c>
      <c r="AA1" t="s">
        <v>56</v>
      </c>
      <c r="AB1" t="s">
        <v>57</v>
      </c>
      <c r="AC1" t="s">
        <v>58</v>
      </c>
      <c r="AD1" t="s">
        <v>59</v>
      </c>
      <c r="AE1" t="s">
        <v>60</v>
      </c>
      <c r="AF1" t="s">
        <v>61</v>
      </c>
      <c r="AG1" t="s">
        <v>62</v>
      </c>
      <c r="AH1" t="s">
        <v>63</v>
      </c>
      <c r="AI1" t="s">
        <v>64</v>
      </c>
      <c r="AJ1" t="s">
        <v>65</v>
      </c>
      <c r="AK1" t="s">
        <v>66</v>
      </c>
      <c r="AL1" t="s">
        <v>67</v>
      </c>
      <c r="AM1" t="s">
        <v>68</v>
      </c>
      <c r="AN1" t="s">
        <v>69</v>
      </c>
      <c r="AO1" t="s">
        <v>70</v>
      </c>
      <c r="AP1" t="s">
        <v>71</v>
      </c>
      <c r="AQ1" t="s">
        <v>72</v>
      </c>
      <c r="AR1" t="s">
        <v>73</v>
      </c>
      <c r="AS1" t="s">
        <v>74</v>
      </c>
      <c r="AT1" t="s">
        <v>75</v>
      </c>
      <c r="AU1" t="s">
        <v>76</v>
      </c>
      <c r="AV1" t="s">
        <v>77</v>
      </c>
      <c r="AW1" t="s">
        <v>78</v>
      </c>
      <c r="AX1" t="s">
        <v>79</v>
      </c>
      <c r="AY1" t="s">
        <v>80</v>
      </c>
      <c r="AZ1" t="s">
        <v>81</v>
      </c>
      <c r="BA1" t="s">
        <v>82</v>
      </c>
      <c r="BB1" t="s">
        <v>83</v>
      </c>
      <c r="BC1" t="s">
        <v>84</v>
      </c>
      <c r="BD1" t="s">
        <v>85</v>
      </c>
      <c r="BE1" t="s">
        <v>86</v>
      </c>
      <c r="BF1" t="s">
        <v>87</v>
      </c>
      <c r="BG1" t="s">
        <v>88</v>
      </c>
      <c r="BH1" t="s">
        <v>89</v>
      </c>
      <c r="BI1" t="s">
        <v>90</v>
      </c>
      <c r="BJ1" t="s">
        <v>91</v>
      </c>
      <c r="BK1" t="s">
        <v>92</v>
      </c>
      <c r="BL1" t="s">
        <v>93</v>
      </c>
      <c r="BM1" t="s">
        <v>94</v>
      </c>
      <c r="BN1" t="s">
        <v>95</v>
      </c>
      <c r="BO1" t="s">
        <v>96</v>
      </c>
      <c r="BP1" t="s">
        <v>97</v>
      </c>
      <c r="BQ1" t="s">
        <v>98</v>
      </c>
      <c r="BR1" t="s">
        <v>99</v>
      </c>
      <c r="BS1" t="s">
        <v>100</v>
      </c>
      <c r="BT1" t="s">
        <v>101</v>
      </c>
      <c r="BU1" t="s">
        <v>102</v>
      </c>
      <c r="BV1" t="s">
        <v>103</v>
      </c>
      <c r="BW1" t="s">
        <v>104</v>
      </c>
      <c r="BX1" t="s">
        <v>105</v>
      </c>
      <c r="BY1" t="s">
        <v>106</v>
      </c>
      <c r="BZ1" t="s">
        <v>107</v>
      </c>
      <c r="CA1" t="s">
        <v>108</v>
      </c>
      <c r="CB1" t="s">
        <v>109</v>
      </c>
      <c r="CC1" t="s">
        <v>110</v>
      </c>
      <c r="CD1" t="s">
        <v>111</v>
      </c>
      <c r="CE1" t="s">
        <v>112</v>
      </c>
      <c r="CF1" t="s">
        <v>113</v>
      </c>
      <c r="CG1" t="s">
        <v>114</v>
      </c>
      <c r="CH1" t="s">
        <v>115</v>
      </c>
      <c r="CI1" t="s">
        <v>116</v>
      </c>
      <c r="CJ1" t="s">
        <v>117</v>
      </c>
      <c r="CK1" t="s">
        <v>118</v>
      </c>
      <c r="CL1" t="s">
        <v>119</v>
      </c>
      <c r="CM1" t="s">
        <v>120</v>
      </c>
      <c r="CN1" t="s">
        <v>121</v>
      </c>
      <c r="CO1" t="s">
        <v>122</v>
      </c>
      <c r="CP1" t="s">
        <v>123</v>
      </c>
      <c r="CQ1" t="s">
        <v>124</v>
      </c>
      <c r="CR1" t="s">
        <v>125</v>
      </c>
      <c r="CS1" t="s">
        <v>126</v>
      </c>
      <c r="CT1" t="s">
        <v>127</v>
      </c>
      <c r="CU1" t="s">
        <v>128</v>
      </c>
      <c r="CV1" t="s">
        <v>129</v>
      </c>
      <c r="CW1" t="s">
        <v>130</v>
      </c>
      <c r="CX1" t="s">
        <v>131</v>
      </c>
      <c r="CY1" t="s">
        <v>132</v>
      </c>
      <c r="CZ1" t="s">
        <v>133</v>
      </c>
      <c r="DA1" t="s">
        <v>134</v>
      </c>
      <c r="DB1" t="s">
        <v>135</v>
      </c>
      <c r="DC1" t="s">
        <v>136</v>
      </c>
      <c r="DD1" t="s">
        <v>137</v>
      </c>
      <c r="DE1" t="s">
        <v>138</v>
      </c>
      <c r="DF1" t="s">
        <v>139</v>
      </c>
      <c r="DG1" t="s">
        <v>140</v>
      </c>
      <c r="DH1" t="s">
        <v>141</v>
      </c>
      <c r="DI1" t="s">
        <v>142</v>
      </c>
      <c r="DJ1" t="s">
        <v>143</v>
      </c>
      <c r="DK1" t="s">
        <v>144</v>
      </c>
      <c r="DL1" t="s">
        <v>145</v>
      </c>
      <c r="DM1" t="s">
        <v>146</v>
      </c>
      <c r="DN1" t="s">
        <v>147</v>
      </c>
      <c r="DO1" t="s">
        <v>148</v>
      </c>
      <c r="DP1" t="s">
        <v>149</v>
      </c>
      <c r="DQ1" t="s">
        <v>150</v>
      </c>
      <c r="DR1" t="s">
        <v>151</v>
      </c>
      <c r="DS1" t="s">
        <v>152</v>
      </c>
      <c r="DT1" t="s">
        <v>153</v>
      </c>
      <c r="DU1" t="s">
        <v>154</v>
      </c>
      <c r="DV1" t="s">
        <v>155</v>
      </c>
      <c r="DW1" t="s">
        <v>156</v>
      </c>
      <c r="DX1" t="s">
        <v>157</v>
      </c>
      <c r="DY1" t="s">
        <v>158</v>
      </c>
      <c r="DZ1" t="s">
        <v>159</v>
      </c>
      <c r="EA1" t="s">
        <v>160</v>
      </c>
      <c r="EB1" t="s">
        <v>161</v>
      </c>
      <c r="EC1" t="s">
        <v>162</v>
      </c>
      <c r="ED1" t="s">
        <v>163</v>
      </c>
      <c r="EE1" t="s">
        <v>164</v>
      </c>
      <c r="EF1" t="s">
        <v>165</v>
      </c>
      <c r="EG1" t="s">
        <v>166</v>
      </c>
      <c r="EH1" t="s">
        <v>167</v>
      </c>
      <c r="EI1" t="s">
        <v>168</v>
      </c>
      <c r="EJ1" t="s">
        <v>169</v>
      </c>
      <c r="EK1" t="s">
        <v>170</v>
      </c>
      <c r="EL1" t="s">
        <v>171</v>
      </c>
      <c r="EM1" t="s">
        <v>172</v>
      </c>
      <c r="EN1" t="s">
        <v>173</v>
      </c>
      <c r="EO1" t="s">
        <v>174</v>
      </c>
      <c r="EP1" t="s">
        <v>175</v>
      </c>
      <c r="EQ1" t="s">
        <v>176</v>
      </c>
      <c r="ER1" t="s">
        <v>177</v>
      </c>
      <c r="ES1" t="s">
        <v>178</v>
      </c>
      <c r="ET1" t="s">
        <v>179</v>
      </c>
      <c r="EU1" t="s">
        <v>180</v>
      </c>
      <c r="EV1" t="s">
        <v>181</v>
      </c>
      <c r="EW1" t="s">
        <v>182</v>
      </c>
      <c r="EX1" t="s">
        <v>183</v>
      </c>
      <c r="EY1" t="s">
        <v>184</v>
      </c>
      <c r="EZ1" t="s">
        <v>185</v>
      </c>
      <c r="FA1" t="s">
        <v>186</v>
      </c>
    </row>
    <row r="2" spans="1:157" x14ac:dyDescent="0.45">
      <c r="A2">
        <v>1</v>
      </c>
      <c r="B2" s="1">
        <v>46279.375</v>
      </c>
      <c r="C2" s="1">
        <v>46279.4</v>
      </c>
      <c r="D2" t="s">
        <v>187</v>
      </c>
      <c r="E2" t="s">
        <v>188</v>
      </c>
      <c r="F2" t="s">
        <v>189</v>
      </c>
      <c r="G2" t="s">
        <v>190</v>
      </c>
      <c r="H2" t="s">
        <v>191</v>
      </c>
      <c r="I2" t="s">
        <v>189</v>
      </c>
      <c r="J2" t="s">
        <v>189</v>
      </c>
      <c r="K2" t="s">
        <v>192</v>
      </c>
      <c r="L2" t="s">
        <v>192</v>
      </c>
      <c r="M2" t="s">
        <v>193</v>
      </c>
      <c r="N2" t="s">
        <v>194</v>
      </c>
      <c r="O2" t="s">
        <v>194</v>
      </c>
      <c r="P2" t="s">
        <v>192</v>
      </c>
      <c r="Q2" t="s">
        <v>193</v>
      </c>
      <c r="R2" t="s">
        <v>192</v>
      </c>
      <c r="S2" t="s">
        <v>194</v>
      </c>
      <c r="T2" t="s">
        <v>195</v>
      </c>
      <c r="U2" t="s">
        <v>195</v>
      </c>
      <c r="V2" t="s">
        <v>196</v>
      </c>
      <c r="W2" t="s">
        <v>196</v>
      </c>
      <c r="X2" t="s">
        <v>195</v>
      </c>
      <c r="Y2" t="s">
        <v>196</v>
      </c>
      <c r="Z2" t="s">
        <v>196</v>
      </c>
      <c r="AA2" t="s">
        <v>196</v>
      </c>
      <c r="AB2" t="s">
        <v>197</v>
      </c>
      <c r="AC2" t="s">
        <v>197</v>
      </c>
      <c r="AD2" t="s">
        <v>197</v>
      </c>
      <c r="AE2" t="s">
        <v>197</v>
      </c>
      <c r="AF2" t="s">
        <v>196</v>
      </c>
      <c r="AG2" t="s">
        <v>196</v>
      </c>
      <c r="AH2" t="s">
        <v>197</v>
      </c>
      <c r="AI2" t="s">
        <v>195</v>
      </c>
      <c r="AJ2" t="s">
        <v>195</v>
      </c>
      <c r="AK2" t="s">
        <v>195</v>
      </c>
      <c r="AL2" t="s">
        <v>195</v>
      </c>
      <c r="AM2" t="s">
        <v>198</v>
      </c>
      <c r="AN2" t="s">
        <v>199</v>
      </c>
      <c r="AO2" t="s">
        <v>200</v>
      </c>
      <c r="AP2" t="s">
        <v>201</v>
      </c>
      <c r="AQ2" t="s">
        <v>199</v>
      </c>
      <c r="AR2" t="s">
        <v>199</v>
      </c>
      <c r="AS2" t="s">
        <v>200</v>
      </c>
      <c r="AT2" t="s">
        <v>200</v>
      </c>
      <c r="AU2" t="s">
        <v>199</v>
      </c>
      <c r="AV2" t="s">
        <v>201</v>
      </c>
      <c r="AW2" t="s">
        <v>200</v>
      </c>
      <c r="AX2" t="s">
        <v>202</v>
      </c>
      <c r="AY2" t="s">
        <v>198</v>
      </c>
      <c r="AZ2" t="s">
        <v>199</v>
      </c>
      <c r="BA2" t="s">
        <v>199</v>
      </c>
      <c r="BB2" t="s">
        <v>201</v>
      </c>
      <c r="BC2" t="s">
        <v>198</v>
      </c>
      <c r="BD2" t="s">
        <v>203</v>
      </c>
      <c r="BE2" t="s">
        <v>204</v>
      </c>
      <c r="BF2" t="s">
        <v>205</v>
      </c>
      <c r="BG2" t="s">
        <v>206</v>
      </c>
      <c r="BH2" t="s">
        <v>207</v>
      </c>
      <c r="BI2" t="s">
        <v>205</v>
      </c>
      <c r="BJ2" t="s">
        <v>208</v>
      </c>
      <c r="BK2" t="s">
        <v>204</v>
      </c>
      <c r="BL2" t="s">
        <v>205</v>
      </c>
      <c r="BM2" t="s">
        <v>204</v>
      </c>
      <c r="BN2" t="s">
        <v>208</v>
      </c>
      <c r="BO2" t="s">
        <v>206</v>
      </c>
      <c r="BP2" t="s">
        <v>207</v>
      </c>
      <c r="BQ2" t="s">
        <v>207</v>
      </c>
      <c r="BR2" t="s">
        <v>208</v>
      </c>
      <c r="BS2" t="s">
        <v>207</v>
      </c>
      <c r="BT2" t="s">
        <v>205</v>
      </c>
      <c r="BU2" t="s">
        <v>206</v>
      </c>
      <c r="BV2" t="s">
        <v>206</v>
      </c>
      <c r="BW2" t="s">
        <v>204</v>
      </c>
      <c r="BX2" t="s">
        <v>208</v>
      </c>
      <c r="BY2" t="s">
        <v>204</v>
      </c>
      <c r="BZ2" t="s">
        <v>207</v>
      </c>
      <c r="CA2" t="s">
        <v>205</v>
      </c>
      <c r="CB2" t="s">
        <v>205</v>
      </c>
      <c r="CC2" t="s">
        <v>206</v>
      </c>
      <c r="CD2" t="s">
        <v>206</v>
      </c>
      <c r="CE2" t="s">
        <v>206</v>
      </c>
      <c r="CF2" t="s">
        <v>206</v>
      </c>
      <c r="CG2" t="s">
        <v>205</v>
      </c>
      <c r="CH2" t="s">
        <v>207</v>
      </c>
      <c r="CI2" t="s">
        <v>209</v>
      </c>
      <c r="CJ2" t="s">
        <v>209</v>
      </c>
      <c r="CK2" t="s">
        <v>195</v>
      </c>
      <c r="CL2" t="s">
        <v>209</v>
      </c>
      <c r="CM2" t="s">
        <v>209</v>
      </c>
      <c r="CN2" t="s">
        <v>195</v>
      </c>
      <c r="CO2" t="s">
        <v>195</v>
      </c>
      <c r="CP2" t="s">
        <v>195</v>
      </c>
      <c r="CQ2" t="s">
        <v>196</v>
      </c>
      <c r="CR2" t="s">
        <v>196</v>
      </c>
      <c r="CS2" t="s">
        <v>195</v>
      </c>
      <c r="CT2" t="s">
        <v>196</v>
      </c>
      <c r="CU2" t="s">
        <v>209</v>
      </c>
      <c r="CV2" t="s">
        <v>195</v>
      </c>
      <c r="CW2" t="s">
        <v>196</v>
      </c>
      <c r="CX2" t="s">
        <v>209</v>
      </c>
      <c r="CY2" t="s">
        <v>209</v>
      </c>
      <c r="CZ2" t="s">
        <v>209</v>
      </c>
      <c r="DA2" t="s">
        <v>209</v>
      </c>
      <c r="DB2" t="s">
        <v>210</v>
      </c>
      <c r="DC2" t="s">
        <v>204</v>
      </c>
      <c r="DD2" t="s">
        <v>204</v>
      </c>
      <c r="DE2" t="s">
        <v>206</v>
      </c>
      <c r="DF2" t="s">
        <v>208</v>
      </c>
      <c r="DG2" t="s">
        <v>204</v>
      </c>
      <c r="DH2" t="s">
        <v>208</v>
      </c>
      <c r="DI2" t="s">
        <v>205</v>
      </c>
      <c r="DJ2" t="s">
        <v>204</v>
      </c>
      <c r="DK2" t="s">
        <v>204</v>
      </c>
      <c r="DL2" t="s">
        <v>206</v>
      </c>
      <c r="DM2" t="s">
        <v>206</v>
      </c>
      <c r="DN2" t="s">
        <v>206</v>
      </c>
      <c r="DO2" t="s">
        <v>206</v>
      </c>
      <c r="DP2" t="s">
        <v>206</v>
      </c>
      <c r="DQ2" t="s">
        <v>207</v>
      </c>
      <c r="DR2" t="s">
        <v>204</v>
      </c>
      <c r="DS2" t="s">
        <v>208</v>
      </c>
      <c r="DT2" t="s">
        <v>208</v>
      </c>
      <c r="DU2" t="s">
        <v>204</v>
      </c>
      <c r="DV2" t="s">
        <v>208</v>
      </c>
      <c r="DW2" t="s">
        <v>208</v>
      </c>
      <c r="DX2" t="s">
        <v>207</v>
      </c>
      <c r="DY2" t="s">
        <v>205</v>
      </c>
      <c r="DZ2" t="s">
        <v>208</v>
      </c>
      <c r="EA2" t="s">
        <v>206</v>
      </c>
      <c r="EB2" t="s">
        <v>206</v>
      </c>
      <c r="EC2" t="s">
        <v>206</v>
      </c>
      <c r="ED2" t="s">
        <v>206</v>
      </c>
      <c r="EE2" t="s">
        <v>204</v>
      </c>
      <c r="EF2" t="s">
        <v>207</v>
      </c>
      <c r="EG2" t="s">
        <v>209</v>
      </c>
      <c r="EH2" t="s">
        <v>209</v>
      </c>
      <c r="EI2" t="s">
        <v>195</v>
      </c>
      <c r="EJ2" t="s">
        <v>209</v>
      </c>
      <c r="EK2" t="s">
        <v>209</v>
      </c>
      <c r="EL2" t="s">
        <v>195</v>
      </c>
      <c r="EM2" t="s">
        <v>195</v>
      </c>
      <c r="EN2" t="s">
        <v>195</v>
      </c>
      <c r="EO2" t="s">
        <v>196</v>
      </c>
      <c r="EP2" t="s">
        <v>196</v>
      </c>
      <c r="EQ2" t="s">
        <v>196</v>
      </c>
      <c r="ER2" t="s">
        <v>196</v>
      </c>
      <c r="ES2" t="s">
        <v>195</v>
      </c>
      <c r="ET2" t="s">
        <v>196</v>
      </c>
      <c r="EU2" t="s">
        <v>196</v>
      </c>
      <c r="EV2" t="s">
        <v>209</v>
      </c>
      <c r="EW2" t="s">
        <v>209</v>
      </c>
      <c r="EX2" t="s">
        <v>209</v>
      </c>
      <c r="EY2" t="s">
        <v>209</v>
      </c>
      <c r="EZ2" t="s">
        <v>203</v>
      </c>
      <c r="FA2" t="s">
        <v>211</v>
      </c>
    </row>
    <row r="3" spans="1:157" x14ac:dyDescent="0.45">
      <c r="A3">
        <v>2</v>
      </c>
      <c r="B3" s="1">
        <v>46279.375</v>
      </c>
      <c r="C3" s="1">
        <v>46279.4</v>
      </c>
      <c r="D3" t="s">
        <v>212</v>
      </c>
      <c r="E3" t="s">
        <v>213</v>
      </c>
      <c r="F3" t="s">
        <v>190</v>
      </c>
      <c r="G3" t="s">
        <v>190</v>
      </c>
      <c r="H3" t="s">
        <v>214</v>
      </c>
      <c r="I3" t="s">
        <v>214</v>
      </c>
      <c r="J3" t="s">
        <v>214</v>
      </c>
      <c r="K3" t="s">
        <v>194</v>
      </c>
      <c r="L3" t="s">
        <v>194</v>
      </c>
      <c r="M3" t="s">
        <v>194</v>
      </c>
      <c r="N3" t="s">
        <v>192</v>
      </c>
      <c r="O3" t="s">
        <v>193</v>
      </c>
      <c r="P3" t="s">
        <v>194</v>
      </c>
      <c r="Q3" t="s">
        <v>215</v>
      </c>
      <c r="R3" t="s">
        <v>216</v>
      </c>
      <c r="S3" t="s">
        <v>192</v>
      </c>
      <c r="T3" t="s">
        <v>217</v>
      </c>
      <c r="U3" t="s">
        <v>218</v>
      </c>
      <c r="V3" t="s">
        <v>217</v>
      </c>
      <c r="W3" t="s">
        <v>217</v>
      </c>
      <c r="X3" t="s">
        <v>217</v>
      </c>
      <c r="Y3" t="s">
        <v>217</v>
      </c>
      <c r="Z3" t="s">
        <v>197</v>
      </c>
      <c r="AA3" t="s">
        <v>218</v>
      </c>
      <c r="AB3" t="s">
        <v>218</v>
      </c>
      <c r="AC3" t="s">
        <v>219</v>
      </c>
      <c r="AD3" t="s">
        <v>219</v>
      </c>
      <c r="AE3" t="s">
        <v>217</v>
      </c>
      <c r="AF3" t="s">
        <v>218</v>
      </c>
      <c r="AG3" t="s">
        <v>217</v>
      </c>
      <c r="AH3" t="s">
        <v>197</v>
      </c>
      <c r="AI3" t="s">
        <v>217</v>
      </c>
      <c r="AJ3" t="s">
        <v>217</v>
      </c>
      <c r="AK3" t="s">
        <v>197</v>
      </c>
      <c r="AL3" t="s">
        <v>217</v>
      </c>
      <c r="AM3" t="s">
        <v>199</v>
      </c>
      <c r="AN3" t="s">
        <v>198</v>
      </c>
      <c r="AO3" t="s">
        <v>202</v>
      </c>
      <c r="AP3" t="s">
        <v>202</v>
      </c>
      <c r="AQ3" t="s">
        <v>201</v>
      </c>
      <c r="AR3" t="s">
        <v>202</v>
      </c>
      <c r="AS3" t="s">
        <v>198</v>
      </c>
      <c r="AT3" t="s">
        <v>198</v>
      </c>
      <c r="AU3" t="s">
        <v>198</v>
      </c>
      <c r="AV3" t="s">
        <v>199</v>
      </c>
      <c r="AW3" t="s">
        <v>198</v>
      </c>
      <c r="AX3" t="s">
        <v>200</v>
      </c>
      <c r="AY3" t="s">
        <v>200</v>
      </c>
      <c r="AZ3" t="s">
        <v>198</v>
      </c>
      <c r="BA3" t="s">
        <v>202</v>
      </c>
      <c r="BB3" t="s">
        <v>202</v>
      </c>
      <c r="BC3" t="s">
        <v>200</v>
      </c>
      <c r="BD3" t="s">
        <v>220</v>
      </c>
      <c r="BE3" t="s">
        <v>206</v>
      </c>
      <c r="BF3" t="s">
        <v>206</v>
      </c>
      <c r="BG3" t="s">
        <v>205</v>
      </c>
      <c r="BH3" t="s">
        <v>204</v>
      </c>
      <c r="BI3" t="s">
        <v>207</v>
      </c>
      <c r="BJ3" t="s">
        <v>205</v>
      </c>
      <c r="BK3" t="s">
        <v>208</v>
      </c>
      <c r="BL3" t="s">
        <v>207</v>
      </c>
      <c r="BM3" t="s">
        <v>206</v>
      </c>
      <c r="BN3" t="s">
        <v>205</v>
      </c>
      <c r="BO3" t="s">
        <v>205</v>
      </c>
      <c r="BP3" t="s">
        <v>204</v>
      </c>
      <c r="BQ3" t="s">
        <v>205</v>
      </c>
      <c r="BR3" t="s">
        <v>207</v>
      </c>
      <c r="BS3" t="s">
        <v>204</v>
      </c>
      <c r="BT3" t="s">
        <v>208</v>
      </c>
      <c r="BU3" t="s">
        <v>204</v>
      </c>
      <c r="BV3" t="s">
        <v>205</v>
      </c>
      <c r="BW3" t="s">
        <v>206</v>
      </c>
      <c r="BX3" t="s">
        <v>204</v>
      </c>
      <c r="BY3" t="s">
        <v>207</v>
      </c>
      <c r="BZ3" t="s">
        <v>204</v>
      </c>
      <c r="CA3" t="s">
        <v>207</v>
      </c>
      <c r="CB3" t="s">
        <v>206</v>
      </c>
      <c r="CC3" t="s">
        <v>205</v>
      </c>
      <c r="CD3" t="s">
        <v>206</v>
      </c>
      <c r="CE3" t="s">
        <v>205</v>
      </c>
      <c r="CF3" t="s">
        <v>205</v>
      </c>
      <c r="CG3" t="s">
        <v>206</v>
      </c>
      <c r="CH3" t="s">
        <v>204</v>
      </c>
      <c r="CI3" t="s">
        <v>217</v>
      </c>
      <c r="CJ3" t="s">
        <v>218</v>
      </c>
      <c r="CK3" t="s">
        <v>217</v>
      </c>
      <c r="CL3" t="s">
        <v>217</v>
      </c>
      <c r="CM3" t="s">
        <v>217</v>
      </c>
      <c r="CN3" t="s">
        <v>217</v>
      </c>
      <c r="CO3" t="s">
        <v>197</v>
      </c>
      <c r="CP3" t="s">
        <v>218</v>
      </c>
      <c r="CQ3" t="s">
        <v>218</v>
      </c>
      <c r="CR3" t="s">
        <v>219</v>
      </c>
      <c r="CS3" t="s">
        <v>219</v>
      </c>
      <c r="CT3" t="s">
        <v>217</v>
      </c>
      <c r="CU3" t="s">
        <v>217</v>
      </c>
      <c r="CV3" t="s">
        <v>217</v>
      </c>
      <c r="CW3" t="s">
        <v>196</v>
      </c>
      <c r="CX3" t="s">
        <v>217</v>
      </c>
      <c r="CY3" t="s">
        <v>197</v>
      </c>
      <c r="CZ3" t="s">
        <v>197</v>
      </c>
      <c r="DA3" t="s">
        <v>217</v>
      </c>
      <c r="DB3" t="s">
        <v>220</v>
      </c>
      <c r="DC3" t="s">
        <v>206</v>
      </c>
      <c r="DD3" t="s">
        <v>206</v>
      </c>
      <c r="DE3" t="s">
        <v>204</v>
      </c>
      <c r="DF3" t="s">
        <v>205</v>
      </c>
      <c r="DG3" t="s">
        <v>208</v>
      </c>
      <c r="DH3" t="s">
        <v>204</v>
      </c>
      <c r="DI3" t="s">
        <v>208</v>
      </c>
      <c r="DJ3" t="s">
        <v>207</v>
      </c>
      <c r="DK3" t="s">
        <v>208</v>
      </c>
      <c r="DL3" t="s">
        <v>204</v>
      </c>
      <c r="DM3" t="s">
        <v>204</v>
      </c>
      <c r="DN3" t="s">
        <v>204</v>
      </c>
      <c r="DO3" t="s">
        <v>204</v>
      </c>
      <c r="DP3" t="s">
        <v>207</v>
      </c>
      <c r="DQ3" t="s">
        <v>206</v>
      </c>
      <c r="DR3" t="s">
        <v>208</v>
      </c>
      <c r="DS3" t="s">
        <v>204</v>
      </c>
      <c r="DT3" t="s">
        <v>204</v>
      </c>
      <c r="DU3" t="s">
        <v>206</v>
      </c>
      <c r="DV3" t="s">
        <v>205</v>
      </c>
      <c r="DW3" t="s">
        <v>206</v>
      </c>
      <c r="DX3" t="s">
        <v>208</v>
      </c>
      <c r="DY3" t="s">
        <v>207</v>
      </c>
      <c r="DZ3" t="s">
        <v>207</v>
      </c>
      <c r="EA3" t="s">
        <v>205</v>
      </c>
      <c r="EB3" t="s">
        <v>206</v>
      </c>
      <c r="EC3" t="s">
        <v>205</v>
      </c>
      <c r="ED3" t="s">
        <v>204</v>
      </c>
      <c r="EE3" t="s">
        <v>207</v>
      </c>
      <c r="EF3" t="s">
        <v>204</v>
      </c>
      <c r="EG3" t="s">
        <v>217</v>
      </c>
      <c r="EH3" t="s">
        <v>218</v>
      </c>
      <c r="EI3" t="s">
        <v>217</v>
      </c>
      <c r="EJ3" t="s">
        <v>217</v>
      </c>
      <c r="EK3" t="s">
        <v>217</v>
      </c>
      <c r="EL3" t="s">
        <v>197</v>
      </c>
      <c r="EM3" t="s">
        <v>197</v>
      </c>
      <c r="EN3" t="s">
        <v>218</v>
      </c>
      <c r="EO3" t="s">
        <v>218</v>
      </c>
      <c r="EP3" t="s">
        <v>219</v>
      </c>
      <c r="EQ3" t="s">
        <v>219</v>
      </c>
      <c r="ER3" t="s">
        <v>217</v>
      </c>
      <c r="ES3" t="s">
        <v>218</v>
      </c>
      <c r="ET3" t="s">
        <v>197</v>
      </c>
      <c r="EU3" t="s">
        <v>197</v>
      </c>
      <c r="EV3" t="s">
        <v>197</v>
      </c>
      <c r="EW3" t="s">
        <v>217</v>
      </c>
      <c r="EX3" t="s">
        <v>197</v>
      </c>
      <c r="EY3" t="s">
        <v>197</v>
      </c>
      <c r="EZ3" t="s">
        <v>220</v>
      </c>
      <c r="FA3" t="s">
        <v>221</v>
      </c>
    </row>
    <row r="4" spans="1:157" x14ac:dyDescent="0.45">
      <c r="A4">
        <v>3</v>
      </c>
      <c r="B4" s="1">
        <v>46280.375</v>
      </c>
      <c r="C4" s="1">
        <v>46280.4</v>
      </c>
      <c r="D4" t="s">
        <v>222</v>
      </c>
      <c r="E4" t="s">
        <v>223</v>
      </c>
      <c r="F4" t="s">
        <v>189</v>
      </c>
      <c r="G4" t="s">
        <v>214</v>
      </c>
      <c r="H4" t="s">
        <v>191</v>
      </c>
      <c r="I4" t="s">
        <v>189</v>
      </c>
      <c r="J4" t="s">
        <v>190</v>
      </c>
      <c r="K4" t="s">
        <v>193</v>
      </c>
      <c r="L4" t="s">
        <v>192</v>
      </c>
      <c r="M4" t="s">
        <v>193</v>
      </c>
      <c r="N4" t="s">
        <v>194</v>
      </c>
      <c r="O4" t="s">
        <v>194</v>
      </c>
      <c r="P4" t="s">
        <v>193</v>
      </c>
      <c r="Q4" t="s">
        <v>216</v>
      </c>
      <c r="R4" t="s">
        <v>192</v>
      </c>
      <c r="S4" t="s">
        <v>216</v>
      </c>
      <c r="T4" t="s">
        <v>196</v>
      </c>
      <c r="U4" t="s">
        <v>196</v>
      </c>
      <c r="V4" t="s">
        <v>196</v>
      </c>
      <c r="W4" t="s">
        <v>196</v>
      </c>
      <c r="X4" t="s">
        <v>196</v>
      </c>
      <c r="Y4" t="s">
        <v>196</v>
      </c>
      <c r="Z4" t="s">
        <v>196</v>
      </c>
      <c r="AA4" t="s">
        <v>195</v>
      </c>
      <c r="AB4" t="s">
        <v>217</v>
      </c>
      <c r="AC4" t="s">
        <v>217</v>
      </c>
      <c r="AD4" t="s">
        <v>217</v>
      </c>
      <c r="AE4" t="s">
        <v>219</v>
      </c>
      <c r="AF4" t="s">
        <v>197</v>
      </c>
      <c r="AG4" t="s">
        <v>196</v>
      </c>
      <c r="AH4" t="s">
        <v>197</v>
      </c>
      <c r="AI4" t="s">
        <v>195</v>
      </c>
      <c r="AJ4" t="s">
        <v>196</v>
      </c>
      <c r="AK4" t="s">
        <v>196</v>
      </c>
      <c r="AL4" t="s">
        <v>196</v>
      </c>
      <c r="AM4" t="s">
        <v>201</v>
      </c>
      <c r="AN4" t="s">
        <v>201</v>
      </c>
      <c r="AO4" t="s">
        <v>200</v>
      </c>
      <c r="AP4" t="s">
        <v>198</v>
      </c>
      <c r="AQ4" t="s">
        <v>200</v>
      </c>
      <c r="AR4" t="s">
        <v>200</v>
      </c>
      <c r="AS4" t="s">
        <v>201</v>
      </c>
      <c r="AT4" t="s">
        <v>200</v>
      </c>
      <c r="AU4" t="s">
        <v>200</v>
      </c>
      <c r="AV4" t="s">
        <v>201</v>
      </c>
      <c r="AW4" t="s">
        <v>200</v>
      </c>
      <c r="AX4" t="s">
        <v>201</v>
      </c>
      <c r="AY4" t="s">
        <v>201</v>
      </c>
      <c r="AZ4" t="s">
        <v>201</v>
      </c>
      <c r="BA4" t="s">
        <v>200</v>
      </c>
      <c r="BB4" t="s">
        <v>198</v>
      </c>
      <c r="BC4" t="s">
        <v>201</v>
      </c>
      <c r="BD4" t="s">
        <v>224</v>
      </c>
      <c r="BE4" t="s">
        <v>205</v>
      </c>
      <c r="BF4" t="s">
        <v>204</v>
      </c>
      <c r="BG4" t="s">
        <v>208</v>
      </c>
      <c r="BH4" t="s">
        <v>206</v>
      </c>
      <c r="BI4" t="s">
        <v>205</v>
      </c>
      <c r="BJ4" t="s">
        <v>208</v>
      </c>
      <c r="BK4" t="s">
        <v>205</v>
      </c>
      <c r="BL4" t="s">
        <v>204</v>
      </c>
      <c r="BM4" t="s">
        <v>204</v>
      </c>
      <c r="BN4" t="s">
        <v>206</v>
      </c>
      <c r="BO4" t="s">
        <v>206</v>
      </c>
      <c r="BP4" t="s">
        <v>207</v>
      </c>
      <c r="BQ4" t="s">
        <v>207</v>
      </c>
      <c r="BR4" t="s">
        <v>208</v>
      </c>
      <c r="BS4" t="s">
        <v>207</v>
      </c>
      <c r="BT4" t="s">
        <v>204</v>
      </c>
      <c r="BU4" t="s">
        <v>206</v>
      </c>
      <c r="BV4" t="s">
        <v>206</v>
      </c>
      <c r="BW4" t="s">
        <v>205</v>
      </c>
      <c r="BX4" t="s">
        <v>208</v>
      </c>
      <c r="BY4" t="s">
        <v>204</v>
      </c>
      <c r="BZ4" t="s">
        <v>207</v>
      </c>
      <c r="CA4" t="s">
        <v>205</v>
      </c>
      <c r="CB4" t="s">
        <v>204</v>
      </c>
      <c r="CC4" t="s">
        <v>208</v>
      </c>
      <c r="CD4" t="s">
        <v>207</v>
      </c>
      <c r="CE4" t="s">
        <v>208</v>
      </c>
      <c r="CF4" t="s">
        <v>208</v>
      </c>
      <c r="CG4" t="s">
        <v>204</v>
      </c>
      <c r="CH4" t="s">
        <v>207</v>
      </c>
      <c r="CI4" t="s">
        <v>209</v>
      </c>
      <c r="CJ4" t="s">
        <v>195</v>
      </c>
      <c r="CK4" t="s">
        <v>195</v>
      </c>
      <c r="CL4" t="s">
        <v>209</v>
      </c>
      <c r="CM4" t="s">
        <v>195</v>
      </c>
      <c r="CN4" t="s">
        <v>195</v>
      </c>
      <c r="CO4" t="s">
        <v>195</v>
      </c>
      <c r="CP4" t="s">
        <v>209</v>
      </c>
      <c r="CQ4" t="s">
        <v>196</v>
      </c>
      <c r="CR4" t="s">
        <v>197</v>
      </c>
      <c r="CS4" t="s">
        <v>197</v>
      </c>
      <c r="CT4" t="s">
        <v>219</v>
      </c>
      <c r="CU4" t="s">
        <v>196</v>
      </c>
      <c r="CV4" t="s">
        <v>195</v>
      </c>
      <c r="CW4" t="s">
        <v>196</v>
      </c>
      <c r="CX4" t="s">
        <v>209</v>
      </c>
      <c r="CY4" t="s">
        <v>195</v>
      </c>
      <c r="CZ4" t="s">
        <v>195</v>
      </c>
      <c r="DA4" t="s">
        <v>195</v>
      </c>
      <c r="DB4" t="s">
        <v>225</v>
      </c>
      <c r="DC4" t="s">
        <v>204</v>
      </c>
      <c r="DD4" t="s">
        <v>208</v>
      </c>
      <c r="DE4" t="s">
        <v>208</v>
      </c>
      <c r="DF4" t="s">
        <v>208</v>
      </c>
      <c r="DG4" t="s">
        <v>204</v>
      </c>
      <c r="DH4" t="s">
        <v>204</v>
      </c>
      <c r="DI4" t="s">
        <v>204</v>
      </c>
      <c r="DJ4" t="s">
        <v>206</v>
      </c>
      <c r="DK4" t="s">
        <v>204</v>
      </c>
      <c r="DL4" t="s">
        <v>208</v>
      </c>
      <c r="DM4" t="s">
        <v>208</v>
      </c>
      <c r="DN4" t="s">
        <v>204</v>
      </c>
      <c r="DO4" t="s">
        <v>206</v>
      </c>
      <c r="DP4" t="s">
        <v>206</v>
      </c>
      <c r="DQ4" t="s">
        <v>207</v>
      </c>
      <c r="DR4" t="s">
        <v>208</v>
      </c>
      <c r="DS4" t="s">
        <v>206</v>
      </c>
      <c r="DT4" t="s">
        <v>208</v>
      </c>
      <c r="DU4" t="s">
        <v>208</v>
      </c>
      <c r="DV4" t="s">
        <v>208</v>
      </c>
      <c r="DW4" t="s">
        <v>208</v>
      </c>
      <c r="DX4" t="s">
        <v>206</v>
      </c>
      <c r="DY4" t="s">
        <v>206</v>
      </c>
      <c r="DZ4" t="s">
        <v>208</v>
      </c>
      <c r="EA4" t="s">
        <v>204</v>
      </c>
      <c r="EB4" t="s">
        <v>207</v>
      </c>
      <c r="EC4" t="s">
        <v>208</v>
      </c>
      <c r="ED4" t="s">
        <v>208</v>
      </c>
      <c r="EE4" t="s">
        <v>208</v>
      </c>
      <c r="EF4" t="s">
        <v>206</v>
      </c>
      <c r="EG4" t="s">
        <v>196</v>
      </c>
      <c r="EH4" t="s">
        <v>196</v>
      </c>
      <c r="EI4" t="s">
        <v>196</v>
      </c>
      <c r="EJ4" t="s">
        <v>196</v>
      </c>
      <c r="EK4" t="s">
        <v>196</v>
      </c>
      <c r="EL4" t="s">
        <v>196</v>
      </c>
      <c r="EM4" t="s">
        <v>196</v>
      </c>
      <c r="EN4" t="s">
        <v>209</v>
      </c>
      <c r="EO4" t="s">
        <v>217</v>
      </c>
      <c r="EP4" t="s">
        <v>217</v>
      </c>
      <c r="EQ4" t="s">
        <v>197</v>
      </c>
      <c r="ER4" t="s">
        <v>219</v>
      </c>
      <c r="ES4" t="s">
        <v>197</v>
      </c>
      <c r="ET4" t="s">
        <v>195</v>
      </c>
      <c r="EU4" t="s">
        <v>196</v>
      </c>
      <c r="EV4" t="s">
        <v>195</v>
      </c>
      <c r="EW4" t="s">
        <v>196</v>
      </c>
      <c r="EX4" t="s">
        <v>196</v>
      </c>
      <c r="EY4" t="s">
        <v>196</v>
      </c>
      <c r="EZ4" t="s">
        <v>224</v>
      </c>
      <c r="FA4" t="s">
        <v>221</v>
      </c>
    </row>
    <row r="5" spans="1:157" x14ac:dyDescent="0.45">
      <c r="A5">
        <v>4</v>
      </c>
      <c r="B5" s="1">
        <v>46280.375</v>
      </c>
      <c r="C5" s="1">
        <v>46280.4</v>
      </c>
      <c r="D5" t="s">
        <v>226</v>
      </c>
      <c r="E5" t="s">
        <v>227</v>
      </c>
      <c r="F5" t="s">
        <v>189</v>
      </c>
      <c r="G5" t="s">
        <v>190</v>
      </c>
      <c r="H5" t="s">
        <v>191</v>
      </c>
      <c r="I5" t="s">
        <v>214</v>
      </c>
      <c r="J5" t="s">
        <v>214</v>
      </c>
      <c r="K5" t="s">
        <v>216</v>
      </c>
      <c r="L5" t="s">
        <v>194</v>
      </c>
      <c r="M5" t="s">
        <v>194</v>
      </c>
      <c r="N5" t="s">
        <v>216</v>
      </c>
      <c r="O5" t="s">
        <v>216</v>
      </c>
      <c r="P5" t="s">
        <v>216</v>
      </c>
      <c r="Q5" t="s">
        <v>216</v>
      </c>
      <c r="R5" t="s">
        <v>194</v>
      </c>
      <c r="S5" t="s">
        <v>216</v>
      </c>
      <c r="T5" t="s">
        <v>197</v>
      </c>
      <c r="U5" t="s">
        <v>197</v>
      </c>
      <c r="V5" t="s">
        <v>196</v>
      </c>
      <c r="W5" t="s">
        <v>196</v>
      </c>
      <c r="X5" t="s">
        <v>197</v>
      </c>
      <c r="Y5" t="s">
        <v>197</v>
      </c>
      <c r="Z5" t="s">
        <v>197</v>
      </c>
      <c r="AA5" t="s">
        <v>197</v>
      </c>
      <c r="AB5" t="s">
        <v>217</v>
      </c>
      <c r="AC5" t="s">
        <v>217</v>
      </c>
      <c r="AD5" t="s">
        <v>219</v>
      </c>
      <c r="AE5" t="s">
        <v>217</v>
      </c>
      <c r="AF5" t="s">
        <v>197</v>
      </c>
      <c r="AG5" t="s">
        <v>219</v>
      </c>
      <c r="AH5" t="s">
        <v>217</v>
      </c>
      <c r="AI5" t="s">
        <v>197</v>
      </c>
      <c r="AJ5" t="s">
        <v>197</v>
      </c>
      <c r="AK5" t="s">
        <v>217</v>
      </c>
      <c r="AL5" t="s">
        <v>217</v>
      </c>
      <c r="AM5" t="s">
        <v>200</v>
      </c>
      <c r="AN5" t="s">
        <v>201</v>
      </c>
      <c r="AO5" t="s">
        <v>198</v>
      </c>
      <c r="AP5" t="s">
        <v>198</v>
      </c>
      <c r="AQ5" t="s">
        <v>201</v>
      </c>
      <c r="AR5" t="s">
        <v>201</v>
      </c>
      <c r="AS5" t="s">
        <v>201</v>
      </c>
      <c r="AT5" t="s">
        <v>201</v>
      </c>
      <c r="AU5" t="s">
        <v>201</v>
      </c>
      <c r="AV5" t="s">
        <v>200</v>
      </c>
      <c r="AW5" t="s">
        <v>201</v>
      </c>
      <c r="AX5" t="s">
        <v>201</v>
      </c>
      <c r="AY5" t="s">
        <v>201</v>
      </c>
      <c r="AZ5" t="s">
        <v>201</v>
      </c>
      <c r="BA5" t="s">
        <v>201</v>
      </c>
      <c r="BB5" t="s">
        <v>198</v>
      </c>
      <c r="BC5" t="s">
        <v>200</v>
      </c>
      <c r="BD5" t="s">
        <v>228</v>
      </c>
      <c r="BE5" t="s">
        <v>208</v>
      </c>
      <c r="BF5" t="s">
        <v>208</v>
      </c>
      <c r="BG5" t="s">
        <v>208</v>
      </c>
      <c r="BH5" t="s">
        <v>204</v>
      </c>
      <c r="BI5" t="s">
        <v>206</v>
      </c>
      <c r="BJ5" t="s">
        <v>204</v>
      </c>
      <c r="BK5" t="s">
        <v>208</v>
      </c>
      <c r="BL5" t="s">
        <v>206</v>
      </c>
      <c r="BM5" t="s">
        <v>208</v>
      </c>
      <c r="BN5" t="s">
        <v>208</v>
      </c>
      <c r="BO5" t="s">
        <v>204</v>
      </c>
      <c r="BP5" t="s">
        <v>204</v>
      </c>
      <c r="BQ5" t="s">
        <v>206</v>
      </c>
      <c r="BR5" t="s">
        <v>206</v>
      </c>
      <c r="BS5" t="s">
        <v>206</v>
      </c>
      <c r="BT5" t="s">
        <v>208</v>
      </c>
      <c r="BU5" t="s">
        <v>208</v>
      </c>
      <c r="BV5" t="s">
        <v>204</v>
      </c>
      <c r="BW5" t="s">
        <v>208</v>
      </c>
      <c r="BX5" t="s">
        <v>204</v>
      </c>
      <c r="BY5" t="s">
        <v>204</v>
      </c>
      <c r="BZ5" t="s">
        <v>208</v>
      </c>
      <c r="CA5" t="s">
        <v>206</v>
      </c>
      <c r="CB5" t="s">
        <v>208</v>
      </c>
      <c r="CC5" t="s">
        <v>208</v>
      </c>
      <c r="CD5" t="s">
        <v>206</v>
      </c>
      <c r="CE5" t="s">
        <v>204</v>
      </c>
      <c r="CF5" t="s">
        <v>208</v>
      </c>
      <c r="CG5" t="s">
        <v>206</v>
      </c>
      <c r="CH5" t="s">
        <v>206</v>
      </c>
      <c r="CI5" t="s">
        <v>196</v>
      </c>
      <c r="CJ5" t="s">
        <v>196</v>
      </c>
      <c r="CK5" t="s">
        <v>196</v>
      </c>
      <c r="CL5" t="s">
        <v>195</v>
      </c>
      <c r="CM5" t="s">
        <v>197</v>
      </c>
      <c r="CN5" t="s">
        <v>197</v>
      </c>
      <c r="CO5" t="s">
        <v>196</v>
      </c>
      <c r="CP5" t="s">
        <v>197</v>
      </c>
      <c r="CQ5" t="s">
        <v>217</v>
      </c>
      <c r="CR5" t="s">
        <v>217</v>
      </c>
      <c r="CS5" t="s">
        <v>219</v>
      </c>
      <c r="CT5" t="s">
        <v>217</v>
      </c>
      <c r="CU5" t="s">
        <v>197</v>
      </c>
      <c r="CV5" t="s">
        <v>219</v>
      </c>
      <c r="CW5" t="s">
        <v>217</v>
      </c>
      <c r="CX5" t="s">
        <v>197</v>
      </c>
      <c r="CY5" t="s">
        <v>196</v>
      </c>
      <c r="CZ5" t="s">
        <v>197</v>
      </c>
      <c r="DA5" t="s">
        <v>217</v>
      </c>
      <c r="DB5" t="s">
        <v>229</v>
      </c>
      <c r="DC5" t="s">
        <v>205</v>
      </c>
      <c r="DD5" t="s">
        <v>208</v>
      </c>
      <c r="DE5" t="s">
        <v>208</v>
      </c>
      <c r="DF5" t="s">
        <v>208</v>
      </c>
      <c r="DG5" t="s">
        <v>208</v>
      </c>
      <c r="DH5" t="s">
        <v>204</v>
      </c>
      <c r="DI5" t="s">
        <v>204</v>
      </c>
      <c r="DJ5" t="s">
        <v>204</v>
      </c>
      <c r="DK5" t="s">
        <v>204</v>
      </c>
      <c r="DL5" t="s">
        <v>208</v>
      </c>
      <c r="DM5" t="s">
        <v>208</v>
      </c>
      <c r="DN5" t="s">
        <v>208</v>
      </c>
      <c r="DO5" t="s">
        <v>206</v>
      </c>
      <c r="DP5" t="s">
        <v>208</v>
      </c>
      <c r="DQ5" t="s">
        <v>206</v>
      </c>
      <c r="DR5" t="s">
        <v>204</v>
      </c>
      <c r="DS5" t="s">
        <v>208</v>
      </c>
      <c r="DT5" t="s">
        <v>208</v>
      </c>
      <c r="DU5" t="s">
        <v>204</v>
      </c>
      <c r="DV5" t="s">
        <v>204</v>
      </c>
      <c r="DW5" t="s">
        <v>208</v>
      </c>
      <c r="DX5" t="s">
        <v>207</v>
      </c>
      <c r="DY5" t="s">
        <v>204</v>
      </c>
      <c r="DZ5" t="s">
        <v>208</v>
      </c>
      <c r="EA5" t="s">
        <v>208</v>
      </c>
      <c r="EB5" t="s">
        <v>207</v>
      </c>
      <c r="EC5" t="s">
        <v>208</v>
      </c>
      <c r="ED5" t="s">
        <v>208</v>
      </c>
      <c r="EE5" t="s">
        <v>208</v>
      </c>
      <c r="EF5" t="s">
        <v>206</v>
      </c>
      <c r="EG5" t="s">
        <v>196</v>
      </c>
      <c r="EH5" t="s">
        <v>196</v>
      </c>
      <c r="EI5" t="s">
        <v>195</v>
      </c>
      <c r="EJ5" t="s">
        <v>209</v>
      </c>
      <c r="EK5" t="s">
        <v>196</v>
      </c>
      <c r="EL5" t="s">
        <v>196</v>
      </c>
      <c r="EM5" t="s">
        <v>196</v>
      </c>
      <c r="EN5" t="s">
        <v>195</v>
      </c>
      <c r="EO5" t="s">
        <v>197</v>
      </c>
      <c r="EP5" t="s">
        <v>197</v>
      </c>
      <c r="EQ5" t="s">
        <v>219</v>
      </c>
      <c r="ER5" t="s">
        <v>197</v>
      </c>
      <c r="ES5" t="s">
        <v>196</v>
      </c>
      <c r="ET5" t="s">
        <v>219</v>
      </c>
      <c r="EU5" t="s">
        <v>197</v>
      </c>
      <c r="EV5" t="s">
        <v>195</v>
      </c>
      <c r="EW5" t="s">
        <v>196</v>
      </c>
      <c r="EX5" t="s">
        <v>197</v>
      </c>
      <c r="EY5" t="s">
        <v>197</v>
      </c>
      <c r="EZ5" t="s">
        <v>230</v>
      </c>
      <c r="FA5" t="s">
        <v>231</v>
      </c>
    </row>
    <row r="6" spans="1:157" x14ac:dyDescent="0.45">
      <c r="A6">
        <v>5</v>
      </c>
      <c r="B6" s="1">
        <v>46281.375</v>
      </c>
      <c r="C6" s="1">
        <v>46281.4</v>
      </c>
      <c r="D6" t="s">
        <v>232</v>
      </c>
      <c r="E6" t="s">
        <v>233</v>
      </c>
      <c r="F6" t="s">
        <v>191</v>
      </c>
      <c r="G6" t="s">
        <v>214</v>
      </c>
      <c r="H6" t="s">
        <v>189</v>
      </c>
      <c r="I6" t="s">
        <v>190</v>
      </c>
      <c r="J6" t="s">
        <v>214</v>
      </c>
      <c r="K6" t="s">
        <v>216</v>
      </c>
      <c r="L6" t="s">
        <v>194</v>
      </c>
      <c r="M6" t="s">
        <v>194</v>
      </c>
      <c r="N6" t="s">
        <v>216</v>
      </c>
      <c r="O6" t="s">
        <v>216</v>
      </c>
      <c r="P6" t="s">
        <v>194</v>
      </c>
      <c r="Q6" t="s">
        <v>194</v>
      </c>
      <c r="R6" t="s">
        <v>216</v>
      </c>
      <c r="S6" t="s">
        <v>193</v>
      </c>
      <c r="T6" t="s">
        <v>196</v>
      </c>
      <c r="U6" t="s">
        <v>197</v>
      </c>
      <c r="V6" t="s">
        <v>197</v>
      </c>
      <c r="W6" t="s">
        <v>217</v>
      </c>
      <c r="X6" t="s">
        <v>217</v>
      </c>
      <c r="Y6" t="s">
        <v>197</v>
      </c>
      <c r="Z6" t="s">
        <v>197</v>
      </c>
      <c r="AA6" t="s">
        <v>197</v>
      </c>
      <c r="AB6" t="s">
        <v>197</v>
      </c>
      <c r="AC6" t="s">
        <v>219</v>
      </c>
      <c r="AD6" t="s">
        <v>197</v>
      </c>
      <c r="AE6" t="s">
        <v>197</v>
      </c>
      <c r="AF6" t="s">
        <v>217</v>
      </c>
      <c r="AG6" t="s">
        <v>219</v>
      </c>
      <c r="AH6" t="s">
        <v>217</v>
      </c>
      <c r="AI6" t="s">
        <v>197</v>
      </c>
      <c r="AJ6" t="s">
        <v>197</v>
      </c>
      <c r="AK6" t="s">
        <v>217</v>
      </c>
      <c r="AL6" t="s">
        <v>197</v>
      </c>
      <c r="AM6" t="s">
        <v>200</v>
      </c>
      <c r="AN6" t="s">
        <v>201</v>
      </c>
      <c r="AO6" t="s">
        <v>201</v>
      </c>
      <c r="AP6" t="s">
        <v>201</v>
      </c>
      <c r="AQ6" t="s">
        <v>198</v>
      </c>
      <c r="AR6" t="s">
        <v>201</v>
      </c>
      <c r="AS6" t="s">
        <v>201</v>
      </c>
      <c r="AT6" t="s">
        <v>198</v>
      </c>
      <c r="AU6" t="s">
        <v>198</v>
      </c>
      <c r="AV6" t="s">
        <v>201</v>
      </c>
      <c r="AW6" t="s">
        <v>201</v>
      </c>
      <c r="AX6" t="s">
        <v>201</v>
      </c>
      <c r="AY6" t="s">
        <v>200</v>
      </c>
      <c r="AZ6" t="s">
        <v>198</v>
      </c>
      <c r="BA6" t="s">
        <v>198</v>
      </c>
      <c r="BB6" t="s">
        <v>198</v>
      </c>
      <c r="BC6" t="s">
        <v>200</v>
      </c>
      <c r="BD6" t="s">
        <v>228</v>
      </c>
      <c r="BE6" t="s">
        <v>204</v>
      </c>
      <c r="BF6" t="s">
        <v>204</v>
      </c>
      <c r="BG6" t="s">
        <v>206</v>
      </c>
      <c r="BH6" t="s">
        <v>208</v>
      </c>
      <c r="BI6" t="s">
        <v>204</v>
      </c>
      <c r="BJ6" t="s">
        <v>208</v>
      </c>
      <c r="BK6" t="s">
        <v>204</v>
      </c>
      <c r="BL6" t="s">
        <v>208</v>
      </c>
      <c r="BM6" t="s">
        <v>204</v>
      </c>
      <c r="BN6" t="s">
        <v>208</v>
      </c>
      <c r="BO6" t="s">
        <v>208</v>
      </c>
      <c r="BP6" t="s">
        <v>206</v>
      </c>
      <c r="BQ6" t="s">
        <v>206</v>
      </c>
      <c r="BR6" t="s">
        <v>208</v>
      </c>
      <c r="BS6" t="s">
        <v>206</v>
      </c>
      <c r="BT6" t="s">
        <v>204</v>
      </c>
      <c r="BU6" t="s">
        <v>208</v>
      </c>
      <c r="BV6" t="s">
        <v>208</v>
      </c>
      <c r="BW6" t="s">
        <v>204</v>
      </c>
      <c r="BX6" t="s">
        <v>208</v>
      </c>
      <c r="BY6" t="s">
        <v>204</v>
      </c>
      <c r="BZ6" t="s">
        <v>206</v>
      </c>
      <c r="CA6" t="s">
        <v>208</v>
      </c>
      <c r="CB6" t="s">
        <v>208</v>
      </c>
      <c r="CC6" t="s">
        <v>208</v>
      </c>
      <c r="CD6" t="s">
        <v>207</v>
      </c>
      <c r="CE6" t="s">
        <v>208</v>
      </c>
      <c r="CF6" t="s">
        <v>208</v>
      </c>
      <c r="CG6" t="s">
        <v>208</v>
      </c>
      <c r="CH6" t="s">
        <v>206</v>
      </c>
      <c r="CI6" t="s">
        <v>209</v>
      </c>
      <c r="CJ6" t="s">
        <v>195</v>
      </c>
      <c r="CK6" t="s">
        <v>196</v>
      </c>
      <c r="CL6" t="s">
        <v>197</v>
      </c>
      <c r="CM6" t="s">
        <v>197</v>
      </c>
      <c r="CN6" t="s">
        <v>196</v>
      </c>
      <c r="CO6" t="s">
        <v>196</v>
      </c>
      <c r="CP6" t="s">
        <v>196</v>
      </c>
      <c r="CQ6" t="s">
        <v>196</v>
      </c>
      <c r="CR6" t="s">
        <v>219</v>
      </c>
      <c r="CS6" t="s">
        <v>196</v>
      </c>
      <c r="CT6" t="s">
        <v>196</v>
      </c>
      <c r="CU6" t="s">
        <v>197</v>
      </c>
      <c r="CV6" t="s">
        <v>197</v>
      </c>
      <c r="CW6" t="s">
        <v>197</v>
      </c>
      <c r="CX6" t="s">
        <v>195</v>
      </c>
      <c r="CY6" t="s">
        <v>196</v>
      </c>
      <c r="CZ6" t="s">
        <v>197</v>
      </c>
      <c r="DA6" t="s">
        <v>195</v>
      </c>
      <c r="DB6" t="s">
        <v>234</v>
      </c>
      <c r="DC6" t="s">
        <v>204</v>
      </c>
      <c r="DD6" t="s">
        <v>204</v>
      </c>
      <c r="DE6" t="s">
        <v>208</v>
      </c>
      <c r="DF6" t="s">
        <v>208</v>
      </c>
      <c r="DG6" t="s">
        <v>204</v>
      </c>
      <c r="DH6" t="s">
        <v>204</v>
      </c>
      <c r="DI6" t="s">
        <v>204</v>
      </c>
      <c r="DJ6" t="s">
        <v>208</v>
      </c>
      <c r="DK6" t="s">
        <v>204</v>
      </c>
      <c r="DL6" t="s">
        <v>204</v>
      </c>
      <c r="DM6" t="s">
        <v>208</v>
      </c>
      <c r="DN6" t="s">
        <v>206</v>
      </c>
      <c r="DO6" t="s">
        <v>206</v>
      </c>
      <c r="DP6" t="s">
        <v>206</v>
      </c>
      <c r="DQ6" t="s">
        <v>207</v>
      </c>
      <c r="DR6" t="s">
        <v>204</v>
      </c>
      <c r="DS6" t="s">
        <v>208</v>
      </c>
      <c r="DT6" t="s">
        <v>208</v>
      </c>
      <c r="DU6" t="s">
        <v>204</v>
      </c>
      <c r="DV6" t="s">
        <v>204</v>
      </c>
      <c r="DW6" t="s">
        <v>208</v>
      </c>
      <c r="DX6" t="s">
        <v>207</v>
      </c>
      <c r="DY6" t="s">
        <v>208</v>
      </c>
      <c r="DZ6" t="s">
        <v>208</v>
      </c>
      <c r="EA6" t="s">
        <v>208</v>
      </c>
      <c r="EB6" t="s">
        <v>206</v>
      </c>
      <c r="EC6" t="s">
        <v>208</v>
      </c>
      <c r="ED6" t="s">
        <v>208</v>
      </c>
      <c r="EE6" t="s">
        <v>208</v>
      </c>
      <c r="EF6" t="s">
        <v>206</v>
      </c>
      <c r="EG6" t="s">
        <v>195</v>
      </c>
      <c r="EH6" t="s">
        <v>196</v>
      </c>
      <c r="EI6" t="s">
        <v>196</v>
      </c>
      <c r="EJ6" t="s">
        <v>197</v>
      </c>
      <c r="EK6" t="s">
        <v>197</v>
      </c>
      <c r="EL6" t="s">
        <v>196</v>
      </c>
      <c r="EM6" t="s">
        <v>196</v>
      </c>
      <c r="EN6" t="s">
        <v>195</v>
      </c>
      <c r="EO6" t="s">
        <v>195</v>
      </c>
      <c r="EP6" t="s">
        <v>219</v>
      </c>
      <c r="EQ6" t="s">
        <v>196</v>
      </c>
      <c r="ER6" t="s">
        <v>196</v>
      </c>
      <c r="ES6" t="s">
        <v>196</v>
      </c>
      <c r="ET6" t="s">
        <v>197</v>
      </c>
      <c r="EU6" t="s">
        <v>196</v>
      </c>
      <c r="EV6" t="s">
        <v>196</v>
      </c>
      <c r="EW6" t="s">
        <v>196</v>
      </c>
      <c r="EX6" t="s">
        <v>196</v>
      </c>
      <c r="EY6" t="s">
        <v>195</v>
      </c>
      <c r="EZ6" t="s">
        <v>235</v>
      </c>
      <c r="FA6" t="s">
        <v>211</v>
      </c>
    </row>
    <row r="7" spans="1:157" x14ac:dyDescent="0.45">
      <c r="A7">
        <v>6</v>
      </c>
      <c r="B7" s="1">
        <v>46281.375</v>
      </c>
      <c r="C7" s="1">
        <v>46281.4</v>
      </c>
      <c r="D7" t="s">
        <v>236</v>
      </c>
      <c r="E7" t="s">
        <v>237</v>
      </c>
      <c r="F7" t="s">
        <v>189</v>
      </c>
      <c r="G7" t="s">
        <v>214</v>
      </c>
      <c r="H7" t="s">
        <v>190</v>
      </c>
      <c r="I7" t="s">
        <v>190</v>
      </c>
      <c r="J7" t="s">
        <v>189</v>
      </c>
      <c r="K7" t="s">
        <v>193</v>
      </c>
      <c r="L7" t="s">
        <v>193</v>
      </c>
      <c r="M7" t="s">
        <v>193</v>
      </c>
      <c r="N7" t="s">
        <v>216</v>
      </c>
      <c r="O7" t="s">
        <v>216</v>
      </c>
      <c r="P7" t="s">
        <v>193</v>
      </c>
      <c r="Q7" t="s">
        <v>193</v>
      </c>
      <c r="R7" t="s">
        <v>193</v>
      </c>
      <c r="S7" t="s">
        <v>194</v>
      </c>
      <c r="T7" t="s">
        <v>219</v>
      </c>
      <c r="U7" t="s">
        <v>197</v>
      </c>
      <c r="V7" t="s">
        <v>197</v>
      </c>
      <c r="W7" t="s">
        <v>197</v>
      </c>
      <c r="X7" t="s">
        <v>197</v>
      </c>
      <c r="Y7" t="s">
        <v>197</v>
      </c>
      <c r="Z7" t="s">
        <v>217</v>
      </c>
      <c r="AA7" t="s">
        <v>197</v>
      </c>
      <c r="AB7" t="s">
        <v>195</v>
      </c>
      <c r="AC7" t="s">
        <v>196</v>
      </c>
      <c r="AD7" t="s">
        <v>195</v>
      </c>
      <c r="AE7" t="s">
        <v>209</v>
      </c>
      <c r="AF7" t="s">
        <v>196</v>
      </c>
      <c r="AG7" t="s">
        <v>197</v>
      </c>
      <c r="AH7" t="s">
        <v>197</v>
      </c>
      <c r="AI7" t="s">
        <v>197</v>
      </c>
      <c r="AJ7" t="s">
        <v>197</v>
      </c>
      <c r="AK7" t="s">
        <v>197</v>
      </c>
      <c r="AL7" t="s">
        <v>197</v>
      </c>
      <c r="AM7" t="s">
        <v>201</v>
      </c>
      <c r="AN7" t="s">
        <v>201</v>
      </c>
      <c r="AO7" t="s">
        <v>200</v>
      </c>
      <c r="AP7" t="s">
        <v>198</v>
      </c>
      <c r="AQ7" t="s">
        <v>200</v>
      </c>
      <c r="AR7" t="s">
        <v>198</v>
      </c>
      <c r="AS7" t="s">
        <v>198</v>
      </c>
      <c r="AT7" t="s">
        <v>200</v>
      </c>
      <c r="AU7" t="s">
        <v>201</v>
      </c>
      <c r="AV7" t="s">
        <v>200</v>
      </c>
      <c r="AW7" t="s">
        <v>200</v>
      </c>
      <c r="AX7" t="s">
        <v>200</v>
      </c>
      <c r="AY7" t="s">
        <v>201</v>
      </c>
      <c r="AZ7" t="s">
        <v>198</v>
      </c>
      <c r="BA7" t="s">
        <v>201</v>
      </c>
      <c r="BB7" t="s">
        <v>202</v>
      </c>
      <c r="BC7" t="s">
        <v>201</v>
      </c>
      <c r="BD7" t="s">
        <v>203</v>
      </c>
      <c r="BE7" t="s">
        <v>204</v>
      </c>
      <c r="BF7" t="s">
        <v>208</v>
      </c>
      <c r="BG7" t="s">
        <v>204</v>
      </c>
      <c r="BH7" t="s">
        <v>204</v>
      </c>
      <c r="BI7" t="s">
        <v>208</v>
      </c>
      <c r="BJ7" t="s">
        <v>204</v>
      </c>
      <c r="BK7" t="s">
        <v>204</v>
      </c>
      <c r="BL7" t="s">
        <v>206</v>
      </c>
      <c r="BM7" t="s">
        <v>204</v>
      </c>
      <c r="BN7" t="s">
        <v>208</v>
      </c>
      <c r="BO7" t="s">
        <v>208</v>
      </c>
      <c r="BP7" t="s">
        <v>208</v>
      </c>
      <c r="BQ7" t="s">
        <v>208</v>
      </c>
      <c r="BR7" t="s">
        <v>206</v>
      </c>
      <c r="BS7" t="s">
        <v>208</v>
      </c>
      <c r="BT7" t="s">
        <v>205</v>
      </c>
      <c r="BU7" t="s">
        <v>204</v>
      </c>
      <c r="BV7" t="s">
        <v>208</v>
      </c>
      <c r="BW7" t="s">
        <v>208</v>
      </c>
      <c r="BX7" t="s">
        <v>204</v>
      </c>
      <c r="BY7" t="s">
        <v>206</v>
      </c>
      <c r="BZ7" t="s">
        <v>206</v>
      </c>
      <c r="CA7" t="s">
        <v>206</v>
      </c>
      <c r="CB7" t="s">
        <v>208</v>
      </c>
      <c r="CC7" t="s">
        <v>208</v>
      </c>
      <c r="CD7" t="s">
        <v>206</v>
      </c>
      <c r="CE7" t="s">
        <v>204</v>
      </c>
      <c r="CF7" t="s">
        <v>208</v>
      </c>
      <c r="CG7" t="s">
        <v>206</v>
      </c>
      <c r="CH7" t="s">
        <v>208</v>
      </c>
      <c r="CI7" t="s">
        <v>219</v>
      </c>
      <c r="CJ7" t="s">
        <v>197</v>
      </c>
      <c r="CK7" t="s">
        <v>197</v>
      </c>
      <c r="CL7" t="s">
        <v>197</v>
      </c>
      <c r="CM7" t="s">
        <v>196</v>
      </c>
      <c r="CN7" t="s">
        <v>197</v>
      </c>
      <c r="CO7" t="s">
        <v>217</v>
      </c>
      <c r="CP7" t="s">
        <v>197</v>
      </c>
      <c r="CQ7" t="s">
        <v>195</v>
      </c>
      <c r="CR7" t="s">
        <v>196</v>
      </c>
      <c r="CS7" t="s">
        <v>196</v>
      </c>
      <c r="CT7" t="s">
        <v>209</v>
      </c>
      <c r="CU7" t="s">
        <v>196</v>
      </c>
      <c r="CV7" t="s">
        <v>196</v>
      </c>
      <c r="CW7" t="s">
        <v>197</v>
      </c>
      <c r="CX7" t="s">
        <v>197</v>
      </c>
      <c r="CY7" t="s">
        <v>197</v>
      </c>
      <c r="CZ7" t="s">
        <v>197</v>
      </c>
      <c r="DA7" t="s">
        <v>219</v>
      </c>
      <c r="DB7" t="s">
        <v>235</v>
      </c>
      <c r="DC7" t="s">
        <v>204</v>
      </c>
      <c r="DD7" t="s">
        <v>208</v>
      </c>
      <c r="DE7" t="s">
        <v>208</v>
      </c>
      <c r="DF7" t="s">
        <v>204</v>
      </c>
      <c r="DG7" t="s">
        <v>208</v>
      </c>
      <c r="DH7" t="s">
        <v>204</v>
      </c>
      <c r="DI7" t="s">
        <v>204</v>
      </c>
      <c r="DJ7" t="s">
        <v>206</v>
      </c>
      <c r="DK7" t="s">
        <v>204</v>
      </c>
      <c r="DL7" t="s">
        <v>204</v>
      </c>
      <c r="DM7" t="s">
        <v>204</v>
      </c>
      <c r="DN7" t="s">
        <v>208</v>
      </c>
      <c r="DO7" t="s">
        <v>204</v>
      </c>
      <c r="DP7" t="s">
        <v>207</v>
      </c>
      <c r="DQ7" t="s">
        <v>206</v>
      </c>
      <c r="DR7" t="s">
        <v>204</v>
      </c>
      <c r="DS7" t="s">
        <v>204</v>
      </c>
      <c r="DT7" t="s">
        <v>204</v>
      </c>
      <c r="DU7" t="s">
        <v>208</v>
      </c>
      <c r="DV7" t="s">
        <v>204</v>
      </c>
      <c r="DW7" t="s">
        <v>206</v>
      </c>
      <c r="DX7" t="s">
        <v>206</v>
      </c>
      <c r="DY7" t="s">
        <v>206</v>
      </c>
      <c r="DZ7" t="s">
        <v>206</v>
      </c>
      <c r="EA7" t="s">
        <v>204</v>
      </c>
      <c r="EB7" t="s">
        <v>206</v>
      </c>
      <c r="EC7" t="s">
        <v>204</v>
      </c>
      <c r="ED7" t="s">
        <v>204</v>
      </c>
      <c r="EE7" t="s">
        <v>206</v>
      </c>
      <c r="EF7" t="s">
        <v>204</v>
      </c>
      <c r="EG7" t="s">
        <v>219</v>
      </c>
      <c r="EH7" t="s">
        <v>197</v>
      </c>
      <c r="EI7" t="s">
        <v>197</v>
      </c>
      <c r="EJ7" t="s">
        <v>197</v>
      </c>
      <c r="EK7" t="s">
        <v>196</v>
      </c>
      <c r="EL7" t="s">
        <v>196</v>
      </c>
      <c r="EM7" t="s">
        <v>217</v>
      </c>
      <c r="EN7" t="s">
        <v>197</v>
      </c>
      <c r="EO7" t="s">
        <v>195</v>
      </c>
      <c r="EP7" t="s">
        <v>196</v>
      </c>
      <c r="EQ7" t="s">
        <v>196</v>
      </c>
      <c r="ER7" t="s">
        <v>195</v>
      </c>
      <c r="ES7" t="s">
        <v>196</v>
      </c>
      <c r="ET7" t="s">
        <v>197</v>
      </c>
      <c r="EU7" t="s">
        <v>197</v>
      </c>
      <c r="EV7" t="s">
        <v>197</v>
      </c>
      <c r="EW7" t="s">
        <v>197</v>
      </c>
      <c r="EX7" t="s">
        <v>197</v>
      </c>
      <c r="EY7" t="s">
        <v>219</v>
      </c>
      <c r="EZ7" t="s">
        <v>203</v>
      </c>
    </row>
    <row r="8" spans="1:157" x14ac:dyDescent="0.45">
      <c r="A8">
        <v>7</v>
      </c>
      <c r="B8" s="1">
        <v>46282.375</v>
      </c>
      <c r="C8" s="1">
        <v>46282.400000000001</v>
      </c>
      <c r="D8" t="s">
        <v>238</v>
      </c>
      <c r="E8" t="s">
        <v>239</v>
      </c>
      <c r="F8" t="s">
        <v>191</v>
      </c>
      <c r="G8" t="s">
        <v>214</v>
      </c>
      <c r="H8" t="s">
        <v>189</v>
      </c>
      <c r="I8" t="s">
        <v>214</v>
      </c>
      <c r="J8" t="s">
        <v>214</v>
      </c>
      <c r="K8" t="s">
        <v>216</v>
      </c>
      <c r="L8" t="s">
        <v>194</v>
      </c>
      <c r="M8" t="s">
        <v>194</v>
      </c>
      <c r="N8" t="s">
        <v>193</v>
      </c>
      <c r="O8" t="s">
        <v>193</v>
      </c>
      <c r="P8" t="s">
        <v>216</v>
      </c>
      <c r="Q8" t="s">
        <v>194</v>
      </c>
      <c r="R8" t="s">
        <v>194</v>
      </c>
      <c r="S8" t="s">
        <v>193</v>
      </c>
      <c r="T8" t="s">
        <v>217</v>
      </c>
      <c r="U8" t="s">
        <v>218</v>
      </c>
      <c r="V8" t="s">
        <v>218</v>
      </c>
      <c r="W8" t="s">
        <v>218</v>
      </c>
      <c r="X8" t="s">
        <v>217</v>
      </c>
      <c r="Y8" t="s">
        <v>218</v>
      </c>
      <c r="Z8" t="s">
        <v>217</v>
      </c>
      <c r="AA8" t="s">
        <v>197</v>
      </c>
      <c r="AB8" t="s">
        <v>218</v>
      </c>
      <c r="AC8" t="s">
        <v>219</v>
      </c>
      <c r="AD8" t="s">
        <v>219</v>
      </c>
      <c r="AE8" t="s">
        <v>217</v>
      </c>
      <c r="AF8" t="s">
        <v>219</v>
      </c>
      <c r="AG8" t="s">
        <v>219</v>
      </c>
      <c r="AH8" t="s">
        <v>218</v>
      </c>
      <c r="AI8" t="s">
        <v>196</v>
      </c>
      <c r="AJ8" t="s">
        <v>197</v>
      </c>
      <c r="AK8" t="s">
        <v>197</v>
      </c>
      <c r="AL8" t="s">
        <v>197</v>
      </c>
      <c r="AM8" t="s">
        <v>201</v>
      </c>
      <c r="AN8" t="s">
        <v>200</v>
      </c>
      <c r="AO8" t="s">
        <v>198</v>
      </c>
      <c r="AP8" t="s">
        <v>201</v>
      </c>
      <c r="AQ8" t="s">
        <v>198</v>
      </c>
      <c r="AR8" t="s">
        <v>201</v>
      </c>
      <c r="AS8" t="s">
        <v>201</v>
      </c>
      <c r="AT8" t="s">
        <v>198</v>
      </c>
      <c r="AV8" t="s">
        <v>200</v>
      </c>
      <c r="AW8" t="s">
        <v>201</v>
      </c>
      <c r="AX8" t="s">
        <v>198</v>
      </c>
      <c r="AY8" t="s">
        <v>201</v>
      </c>
      <c r="AZ8" t="s">
        <v>201</v>
      </c>
      <c r="BA8" t="s">
        <v>201</v>
      </c>
      <c r="BB8" t="s">
        <v>201</v>
      </c>
      <c r="BC8" t="s">
        <v>201</v>
      </c>
      <c r="BD8" t="s">
        <v>220</v>
      </c>
      <c r="BE8" t="s">
        <v>204</v>
      </c>
      <c r="BF8" t="s">
        <v>208</v>
      </c>
      <c r="BG8" t="s">
        <v>208</v>
      </c>
      <c r="BH8" t="s">
        <v>208</v>
      </c>
      <c r="BI8" t="s">
        <v>208</v>
      </c>
      <c r="BJ8" t="s">
        <v>204</v>
      </c>
      <c r="BK8" t="s">
        <v>204</v>
      </c>
      <c r="BL8" t="s">
        <v>206</v>
      </c>
      <c r="BM8" t="s">
        <v>205</v>
      </c>
      <c r="BN8" t="s">
        <v>208</v>
      </c>
      <c r="BO8" t="s">
        <v>208</v>
      </c>
      <c r="BP8" t="s">
        <v>206</v>
      </c>
      <c r="BQ8" t="s">
        <v>206</v>
      </c>
      <c r="BR8" t="s">
        <v>208</v>
      </c>
      <c r="BS8" t="s">
        <v>206</v>
      </c>
      <c r="BT8" t="s">
        <v>204</v>
      </c>
      <c r="BU8" t="s">
        <v>208</v>
      </c>
      <c r="BV8" t="s">
        <v>208</v>
      </c>
      <c r="BW8" t="s">
        <v>208</v>
      </c>
      <c r="BX8" t="s">
        <v>204</v>
      </c>
      <c r="BY8" t="s">
        <v>208</v>
      </c>
      <c r="BZ8" t="s">
        <v>206</v>
      </c>
      <c r="CA8" t="s">
        <v>206</v>
      </c>
      <c r="CB8" t="s">
        <v>208</v>
      </c>
      <c r="CC8" t="s">
        <v>208</v>
      </c>
      <c r="CD8" t="s">
        <v>207</v>
      </c>
      <c r="CE8" t="s">
        <v>208</v>
      </c>
      <c r="CF8" t="s">
        <v>208</v>
      </c>
      <c r="CG8" t="s">
        <v>208</v>
      </c>
      <c r="CH8" t="s">
        <v>206</v>
      </c>
      <c r="CI8" t="s">
        <v>197</v>
      </c>
      <c r="CJ8" t="s">
        <v>217</v>
      </c>
      <c r="CK8" t="s">
        <v>197</v>
      </c>
      <c r="CL8" t="s">
        <v>197</v>
      </c>
      <c r="CM8" t="s">
        <v>197</v>
      </c>
      <c r="CN8" t="s">
        <v>197</v>
      </c>
      <c r="CO8" t="s">
        <v>197</v>
      </c>
      <c r="CP8" t="s">
        <v>196</v>
      </c>
      <c r="CQ8" t="s">
        <v>217</v>
      </c>
      <c r="CR8" t="s">
        <v>219</v>
      </c>
      <c r="CS8" t="s">
        <v>219</v>
      </c>
      <c r="CT8" t="s">
        <v>197</v>
      </c>
      <c r="CU8" t="s">
        <v>219</v>
      </c>
      <c r="CV8" t="s">
        <v>219</v>
      </c>
      <c r="CW8" t="s">
        <v>217</v>
      </c>
      <c r="CX8" t="s">
        <v>195</v>
      </c>
      <c r="CY8" t="s">
        <v>196</v>
      </c>
      <c r="CZ8" t="s">
        <v>196</v>
      </c>
      <c r="DA8" t="s">
        <v>196</v>
      </c>
      <c r="DB8" t="s">
        <v>229</v>
      </c>
      <c r="DC8" t="s">
        <v>204</v>
      </c>
      <c r="DD8" t="s">
        <v>208</v>
      </c>
      <c r="DE8" t="s">
        <v>208</v>
      </c>
      <c r="DF8" t="s">
        <v>208</v>
      </c>
      <c r="DG8" t="s">
        <v>208</v>
      </c>
      <c r="DH8" t="s">
        <v>204</v>
      </c>
      <c r="DI8" t="s">
        <v>204</v>
      </c>
      <c r="DJ8" t="s">
        <v>206</v>
      </c>
      <c r="DK8" t="s">
        <v>205</v>
      </c>
      <c r="DL8" t="s">
        <v>208</v>
      </c>
      <c r="DM8" t="s">
        <v>204</v>
      </c>
      <c r="DN8" t="s">
        <v>208</v>
      </c>
      <c r="DO8" t="s">
        <v>208</v>
      </c>
      <c r="DP8" t="s">
        <v>208</v>
      </c>
      <c r="DQ8" t="s">
        <v>206</v>
      </c>
      <c r="DR8" t="s">
        <v>204</v>
      </c>
      <c r="DS8" t="s">
        <v>206</v>
      </c>
      <c r="DT8" t="s">
        <v>208</v>
      </c>
      <c r="DU8" t="s">
        <v>208</v>
      </c>
      <c r="DV8" t="s">
        <v>204</v>
      </c>
      <c r="DW8" t="s">
        <v>208</v>
      </c>
      <c r="DX8" t="s">
        <v>207</v>
      </c>
      <c r="DY8" t="s">
        <v>208</v>
      </c>
      <c r="DZ8" t="s">
        <v>206</v>
      </c>
      <c r="EA8" t="s">
        <v>208</v>
      </c>
      <c r="EB8" t="s">
        <v>206</v>
      </c>
      <c r="EC8" t="s">
        <v>208</v>
      </c>
      <c r="ED8" t="s">
        <v>206</v>
      </c>
      <c r="EE8" t="s">
        <v>208</v>
      </c>
      <c r="EF8" t="s">
        <v>206</v>
      </c>
      <c r="EG8" t="s">
        <v>197</v>
      </c>
      <c r="EH8" t="s">
        <v>197</v>
      </c>
      <c r="EI8" t="s">
        <v>217</v>
      </c>
      <c r="EJ8" t="s">
        <v>217</v>
      </c>
      <c r="EK8" t="s">
        <v>196</v>
      </c>
      <c r="EL8" t="s">
        <v>217</v>
      </c>
      <c r="EM8" t="s">
        <v>197</v>
      </c>
      <c r="EN8" t="s">
        <v>196</v>
      </c>
      <c r="EO8" t="s">
        <v>197</v>
      </c>
      <c r="EP8" t="s">
        <v>219</v>
      </c>
      <c r="EQ8" t="s">
        <v>219</v>
      </c>
      <c r="ER8" t="s">
        <v>197</v>
      </c>
      <c r="ES8" t="s">
        <v>219</v>
      </c>
      <c r="ET8" t="s">
        <v>219</v>
      </c>
      <c r="EU8" t="s">
        <v>217</v>
      </c>
      <c r="EV8" t="s">
        <v>195</v>
      </c>
      <c r="EW8" t="s">
        <v>196</v>
      </c>
      <c r="EX8" t="s">
        <v>196</v>
      </c>
      <c r="EY8" t="s">
        <v>196</v>
      </c>
      <c r="EZ8" t="s">
        <v>229</v>
      </c>
      <c r="FA8" t="s">
        <v>240</v>
      </c>
    </row>
    <row r="9" spans="1:157" x14ac:dyDescent="0.45">
      <c r="A9">
        <v>8</v>
      </c>
      <c r="B9" s="1">
        <v>46283.375</v>
      </c>
      <c r="C9" s="1">
        <v>46283.4</v>
      </c>
      <c r="D9" t="s">
        <v>241</v>
      </c>
      <c r="E9" t="s">
        <v>242</v>
      </c>
      <c r="F9" t="s">
        <v>191</v>
      </c>
      <c r="G9" t="s">
        <v>214</v>
      </c>
      <c r="H9" t="s">
        <v>190</v>
      </c>
      <c r="I9" t="s">
        <v>214</v>
      </c>
      <c r="J9" t="s">
        <v>214</v>
      </c>
      <c r="K9" t="s">
        <v>216</v>
      </c>
      <c r="L9" t="s">
        <v>193</v>
      </c>
      <c r="M9" t="s">
        <v>216</v>
      </c>
      <c r="N9" t="s">
        <v>193</v>
      </c>
      <c r="O9" t="s">
        <v>216</v>
      </c>
      <c r="P9" t="s">
        <v>216</v>
      </c>
      <c r="Q9" t="s">
        <v>194</v>
      </c>
      <c r="R9" t="s">
        <v>216</v>
      </c>
      <c r="S9" t="s">
        <v>216</v>
      </c>
      <c r="T9" t="s">
        <v>197</v>
      </c>
      <c r="U9" t="s">
        <v>197</v>
      </c>
      <c r="V9" t="s">
        <v>197</v>
      </c>
      <c r="W9" t="s">
        <v>197</v>
      </c>
      <c r="X9" t="s">
        <v>197</v>
      </c>
      <c r="Y9" t="s">
        <v>197</v>
      </c>
      <c r="Z9" t="s">
        <v>197</v>
      </c>
      <c r="AA9" t="s">
        <v>197</v>
      </c>
      <c r="AB9" t="s">
        <v>217</v>
      </c>
      <c r="AC9" t="s">
        <v>217</v>
      </c>
      <c r="AD9" t="s">
        <v>219</v>
      </c>
      <c r="AE9" t="s">
        <v>218</v>
      </c>
      <c r="AF9" t="s">
        <v>217</v>
      </c>
      <c r="AG9" t="s">
        <v>197</v>
      </c>
      <c r="AH9" t="s">
        <v>217</v>
      </c>
      <c r="AI9" t="s">
        <v>197</v>
      </c>
      <c r="AJ9" t="s">
        <v>197</v>
      </c>
      <c r="AK9" t="s">
        <v>197</v>
      </c>
      <c r="AL9" t="s">
        <v>197</v>
      </c>
      <c r="AM9" t="s">
        <v>201</v>
      </c>
      <c r="AN9" t="s">
        <v>201</v>
      </c>
      <c r="AO9" t="s">
        <v>201</v>
      </c>
      <c r="AP9" t="s">
        <v>198</v>
      </c>
      <c r="AQ9" t="s">
        <v>201</v>
      </c>
      <c r="AR9" t="s">
        <v>198</v>
      </c>
      <c r="AS9" t="s">
        <v>198</v>
      </c>
      <c r="AT9" t="s">
        <v>201</v>
      </c>
      <c r="AU9" t="s">
        <v>200</v>
      </c>
      <c r="AV9" t="s">
        <v>200</v>
      </c>
      <c r="AW9" t="s">
        <v>201</v>
      </c>
      <c r="AX9" t="s">
        <v>201</v>
      </c>
      <c r="AY9" t="s">
        <v>200</v>
      </c>
      <c r="AZ9" t="s">
        <v>201</v>
      </c>
      <c r="BA9" t="s">
        <v>198</v>
      </c>
      <c r="BB9" t="s">
        <v>201</v>
      </c>
      <c r="BC9" t="s">
        <v>201</v>
      </c>
      <c r="BD9" t="s">
        <v>243</v>
      </c>
      <c r="BE9" t="s">
        <v>204</v>
      </c>
      <c r="BF9" t="s">
        <v>204</v>
      </c>
      <c r="BG9" t="s">
        <v>204</v>
      </c>
      <c r="BH9" t="s">
        <v>204</v>
      </c>
      <c r="BI9" t="s">
        <v>204</v>
      </c>
      <c r="BJ9" t="s">
        <v>204</v>
      </c>
      <c r="BK9" t="s">
        <v>204</v>
      </c>
      <c r="BL9" t="s">
        <v>204</v>
      </c>
      <c r="BM9" t="s">
        <v>204</v>
      </c>
      <c r="BN9" t="s">
        <v>204</v>
      </c>
      <c r="BO9" t="s">
        <v>204</v>
      </c>
      <c r="BP9" t="s">
        <v>204</v>
      </c>
      <c r="BQ9" t="s">
        <v>204</v>
      </c>
      <c r="BR9" t="s">
        <v>204</v>
      </c>
      <c r="BS9" t="s">
        <v>204</v>
      </c>
      <c r="BT9" t="s">
        <v>204</v>
      </c>
      <c r="BU9" t="s">
        <v>204</v>
      </c>
      <c r="BV9" t="s">
        <v>204</v>
      </c>
      <c r="BW9" t="s">
        <v>204</v>
      </c>
      <c r="BX9" t="s">
        <v>204</v>
      </c>
      <c r="BY9" t="s">
        <v>204</v>
      </c>
      <c r="BZ9" t="s">
        <v>204</v>
      </c>
      <c r="CA9" t="s">
        <v>204</v>
      </c>
      <c r="CB9" t="s">
        <v>204</v>
      </c>
      <c r="CC9" t="s">
        <v>204</v>
      </c>
      <c r="CD9" t="s">
        <v>204</v>
      </c>
      <c r="CE9" t="s">
        <v>204</v>
      </c>
      <c r="CF9" t="s">
        <v>204</v>
      </c>
      <c r="CG9" t="s">
        <v>204</v>
      </c>
      <c r="CH9" t="s">
        <v>204</v>
      </c>
      <c r="CI9" t="s">
        <v>195</v>
      </c>
      <c r="CJ9" t="s">
        <v>195</v>
      </c>
      <c r="CK9" t="s">
        <v>195</v>
      </c>
      <c r="CL9" t="s">
        <v>196</v>
      </c>
      <c r="CM9" t="s">
        <v>196</v>
      </c>
      <c r="CN9" t="s">
        <v>196</v>
      </c>
      <c r="CO9" t="s">
        <v>196</v>
      </c>
      <c r="CP9" t="s">
        <v>196</v>
      </c>
      <c r="CQ9" t="s">
        <v>197</v>
      </c>
      <c r="CR9" t="s">
        <v>197</v>
      </c>
      <c r="CS9" t="s">
        <v>219</v>
      </c>
      <c r="CT9" t="s">
        <v>197</v>
      </c>
      <c r="CU9" t="s">
        <v>197</v>
      </c>
      <c r="CV9" t="s">
        <v>195</v>
      </c>
      <c r="CW9" t="s">
        <v>196</v>
      </c>
      <c r="CX9" t="s">
        <v>196</v>
      </c>
      <c r="CY9" t="s">
        <v>196</v>
      </c>
      <c r="CZ9" t="s">
        <v>196</v>
      </c>
      <c r="DA9" t="s">
        <v>196</v>
      </c>
      <c r="DB9" t="s">
        <v>235</v>
      </c>
      <c r="DC9" t="s">
        <v>204</v>
      </c>
      <c r="DD9" t="s">
        <v>204</v>
      </c>
      <c r="DE9" t="s">
        <v>204</v>
      </c>
      <c r="DF9" t="s">
        <v>204</v>
      </c>
      <c r="DG9" t="s">
        <v>204</v>
      </c>
      <c r="DH9" t="s">
        <v>204</v>
      </c>
      <c r="DI9" t="s">
        <v>204</v>
      </c>
      <c r="DJ9" t="s">
        <v>204</v>
      </c>
      <c r="DK9" t="s">
        <v>204</v>
      </c>
      <c r="DL9" t="s">
        <v>204</v>
      </c>
      <c r="DM9" t="s">
        <v>204</v>
      </c>
      <c r="DN9" t="s">
        <v>204</v>
      </c>
      <c r="DO9" t="s">
        <v>204</v>
      </c>
      <c r="DP9" t="s">
        <v>204</v>
      </c>
      <c r="DQ9" t="s">
        <v>204</v>
      </c>
      <c r="DR9" t="s">
        <v>204</v>
      </c>
      <c r="DS9" t="s">
        <v>204</v>
      </c>
      <c r="DT9" t="s">
        <v>204</v>
      </c>
      <c r="DU9" t="s">
        <v>204</v>
      </c>
      <c r="DV9" t="s">
        <v>204</v>
      </c>
      <c r="DW9" t="s">
        <v>204</v>
      </c>
      <c r="DX9" t="s">
        <v>204</v>
      </c>
      <c r="DY9" t="s">
        <v>204</v>
      </c>
      <c r="DZ9" t="s">
        <v>204</v>
      </c>
      <c r="EA9" t="s">
        <v>204</v>
      </c>
      <c r="EB9" t="s">
        <v>204</v>
      </c>
      <c r="EC9" t="s">
        <v>204</v>
      </c>
      <c r="ED9" t="s">
        <v>204</v>
      </c>
      <c r="EE9" t="s">
        <v>204</v>
      </c>
      <c r="EF9" t="s">
        <v>204</v>
      </c>
      <c r="EG9" t="s">
        <v>196</v>
      </c>
      <c r="EH9" t="s">
        <v>196</v>
      </c>
      <c r="EI9" t="s">
        <v>196</v>
      </c>
      <c r="EJ9" t="s">
        <v>195</v>
      </c>
      <c r="EK9" t="s">
        <v>196</v>
      </c>
      <c r="EL9" t="s">
        <v>195</v>
      </c>
      <c r="EM9" t="s">
        <v>196</v>
      </c>
      <c r="EN9" t="s">
        <v>195</v>
      </c>
      <c r="EO9" t="s">
        <v>197</v>
      </c>
      <c r="EP9" t="s">
        <v>197</v>
      </c>
      <c r="EQ9" t="s">
        <v>219</v>
      </c>
      <c r="ER9" t="s">
        <v>217</v>
      </c>
      <c r="ES9" t="s">
        <v>197</v>
      </c>
      <c r="ET9" t="s">
        <v>195</v>
      </c>
      <c r="EU9" t="s">
        <v>197</v>
      </c>
      <c r="EV9" t="s">
        <v>196</v>
      </c>
      <c r="EW9" t="s">
        <v>196</v>
      </c>
      <c r="EX9" t="s">
        <v>195</v>
      </c>
      <c r="EY9" t="s">
        <v>196</v>
      </c>
      <c r="EZ9" t="s">
        <v>235</v>
      </c>
      <c r="FA9" t="s">
        <v>221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77"/>
  <sheetViews>
    <sheetView workbookViewId="0"/>
  </sheetViews>
  <sheetFormatPr defaultRowHeight="14.25" x14ac:dyDescent="0.45"/>
  <sheetData>
    <row r="1" spans="1:7" x14ac:dyDescent="0.45">
      <c r="A1" t="s">
        <v>244</v>
      </c>
      <c r="B1" t="s">
        <v>245</v>
      </c>
      <c r="C1" t="s">
        <v>246</v>
      </c>
      <c r="D1" t="s">
        <v>247</v>
      </c>
      <c r="E1" t="s">
        <v>248</v>
      </c>
      <c r="F1" t="s">
        <v>249</v>
      </c>
      <c r="G1" t="s">
        <v>250</v>
      </c>
    </row>
    <row r="2" spans="1:7" x14ac:dyDescent="0.45">
      <c r="A2" t="s">
        <v>251</v>
      </c>
      <c r="B2" t="s">
        <v>252</v>
      </c>
      <c r="C2" t="s">
        <v>253</v>
      </c>
      <c r="D2">
        <v>0</v>
      </c>
      <c r="E2" t="s">
        <v>254</v>
      </c>
      <c r="F2" t="s">
        <v>35</v>
      </c>
      <c r="G2" t="s">
        <v>253</v>
      </c>
    </row>
    <row r="3" spans="1:7" x14ac:dyDescent="0.45">
      <c r="A3" t="s">
        <v>255</v>
      </c>
      <c r="B3" t="s">
        <v>252</v>
      </c>
      <c r="C3" t="s">
        <v>253</v>
      </c>
      <c r="D3">
        <v>0</v>
      </c>
      <c r="E3" t="s">
        <v>256</v>
      </c>
      <c r="F3" t="s">
        <v>36</v>
      </c>
      <c r="G3" t="s">
        <v>253</v>
      </c>
    </row>
    <row r="4" spans="1:7" x14ac:dyDescent="0.45">
      <c r="A4" t="s">
        <v>257</v>
      </c>
      <c r="B4" t="s">
        <v>252</v>
      </c>
      <c r="C4" t="s">
        <v>253</v>
      </c>
      <c r="D4">
        <v>0</v>
      </c>
      <c r="E4" t="s">
        <v>258</v>
      </c>
      <c r="F4" t="s">
        <v>37</v>
      </c>
      <c r="G4" t="s">
        <v>253</v>
      </c>
    </row>
    <row r="5" spans="1:7" x14ac:dyDescent="0.45">
      <c r="A5" t="s">
        <v>259</v>
      </c>
      <c r="B5" t="s">
        <v>252</v>
      </c>
      <c r="C5" t="s">
        <v>253</v>
      </c>
      <c r="D5">
        <v>0</v>
      </c>
      <c r="E5" t="s">
        <v>260</v>
      </c>
      <c r="F5" t="s">
        <v>38</v>
      </c>
      <c r="G5" t="s">
        <v>253</v>
      </c>
    </row>
    <row r="6" spans="1:7" x14ac:dyDescent="0.45">
      <c r="A6" t="s">
        <v>261</v>
      </c>
      <c r="B6" t="s">
        <v>252</v>
      </c>
      <c r="C6" t="s">
        <v>253</v>
      </c>
      <c r="D6">
        <v>0</v>
      </c>
      <c r="E6" t="s">
        <v>262</v>
      </c>
      <c r="F6" t="s">
        <v>39</v>
      </c>
      <c r="G6" t="s">
        <v>253</v>
      </c>
    </row>
    <row r="7" spans="1:7" x14ac:dyDescent="0.45">
      <c r="A7" t="s">
        <v>263</v>
      </c>
      <c r="B7" t="s">
        <v>264</v>
      </c>
      <c r="C7" t="s">
        <v>265</v>
      </c>
      <c r="D7">
        <v>0</v>
      </c>
      <c r="E7" t="s">
        <v>266</v>
      </c>
      <c r="F7" t="s">
        <v>68</v>
      </c>
      <c r="G7" t="s">
        <v>253</v>
      </c>
    </row>
    <row r="8" spans="1:7" x14ac:dyDescent="0.45">
      <c r="A8" t="s">
        <v>267</v>
      </c>
      <c r="B8" t="s">
        <v>264</v>
      </c>
      <c r="C8" t="s">
        <v>265</v>
      </c>
      <c r="D8">
        <v>0</v>
      </c>
      <c r="E8" t="s">
        <v>268</v>
      </c>
      <c r="F8" t="s">
        <v>69</v>
      </c>
      <c r="G8" t="s">
        <v>253</v>
      </c>
    </row>
    <row r="9" spans="1:7" x14ac:dyDescent="0.45">
      <c r="A9" t="s">
        <v>269</v>
      </c>
      <c r="B9" t="s">
        <v>264</v>
      </c>
      <c r="C9" t="s">
        <v>265</v>
      </c>
      <c r="D9">
        <v>0</v>
      </c>
      <c r="E9" t="s">
        <v>270</v>
      </c>
      <c r="F9" t="s">
        <v>70</v>
      </c>
      <c r="G9" t="s">
        <v>253</v>
      </c>
    </row>
    <row r="10" spans="1:7" x14ac:dyDescent="0.45">
      <c r="A10" t="s">
        <v>271</v>
      </c>
      <c r="B10" t="s">
        <v>264</v>
      </c>
      <c r="C10" t="s">
        <v>265</v>
      </c>
      <c r="D10">
        <v>0</v>
      </c>
      <c r="E10" t="s">
        <v>272</v>
      </c>
      <c r="F10" t="s">
        <v>71</v>
      </c>
      <c r="G10" t="s">
        <v>253</v>
      </c>
    </row>
    <row r="11" spans="1:7" x14ac:dyDescent="0.45">
      <c r="A11" t="s">
        <v>273</v>
      </c>
      <c r="B11" t="s">
        <v>264</v>
      </c>
      <c r="C11" t="s">
        <v>265</v>
      </c>
      <c r="D11">
        <v>1</v>
      </c>
      <c r="E11" t="s">
        <v>274</v>
      </c>
      <c r="F11" t="s">
        <v>72</v>
      </c>
      <c r="G11" t="s">
        <v>253</v>
      </c>
    </row>
    <row r="12" spans="1:7" x14ac:dyDescent="0.45">
      <c r="A12" t="s">
        <v>275</v>
      </c>
      <c r="B12" t="s">
        <v>264</v>
      </c>
      <c r="C12" t="s">
        <v>265</v>
      </c>
      <c r="D12">
        <v>0</v>
      </c>
      <c r="E12" t="s">
        <v>276</v>
      </c>
      <c r="F12" t="s">
        <v>73</v>
      </c>
      <c r="G12" t="s">
        <v>253</v>
      </c>
    </row>
    <row r="13" spans="1:7" x14ac:dyDescent="0.45">
      <c r="A13" t="s">
        <v>277</v>
      </c>
      <c r="B13" t="s">
        <v>264</v>
      </c>
      <c r="C13" t="s">
        <v>265</v>
      </c>
      <c r="D13">
        <v>0</v>
      </c>
      <c r="E13" t="s">
        <v>278</v>
      </c>
      <c r="F13" t="s">
        <v>74</v>
      </c>
      <c r="G13" t="s">
        <v>253</v>
      </c>
    </row>
    <row r="14" spans="1:7" x14ac:dyDescent="0.45">
      <c r="A14" t="s">
        <v>279</v>
      </c>
      <c r="B14" t="s">
        <v>264</v>
      </c>
      <c r="C14" t="s">
        <v>265</v>
      </c>
      <c r="D14">
        <v>1</v>
      </c>
      <c r="E14" t="s">
        <v>280</v>
      </c>
      <c r="F14" t="s">
        <v>75</v>
      </c>
      <c r="G14" t="s">
        <v>253</v>
      </c>
    </row>
    <row r="15" spans="1:7" x14ac:dyDescent="0.45">
      <c r="A15" t="s">
        <v>281</v>
      </c>
      <c r="B15" t="s">
        <v>264</v>
      </c>
      <c r="C15" t="s">
        <v>265</v>
      </c>
      <c r="D15">
        <v>0</v>
      </c>
      <c r="E15" t="s">
        <v>282</v>
      </c>
      <c r="F15" t="s">
        <v>76</v>
      </c>
      <c r="G15" t="s">
        <v>253</v>
      </c>
    </row>
    <row r="16" spans="1:7" x14ac:dyDescent="0.45">
      <c r="A16" t="s">
        <v>283</v>
      </c>
      <c r="B16" t="s">
        <v>264</v>
      </c>
      <c r="C16" t="s">
        <v>265</v>
      </c>
      <c r="D16">
        <v>1</v>
      </c>
      <c r="E16" t="s">
        <v>284</v>
      </c>
      <c r="F16" t="s">
        <v>77</v>
      </c>
      <c r="G16" t="s">
        <v>253</v>
      </c>
    </row>
    <row r="17" spans="1:7" x14ac:dyDescent="0.45">
      <c r="A17" t="s">
        <v>285</v>
      </c>
      <c r="B17" t="s">
        <v>264</v>
      </c>
      <c r="C17" t="s">
        <v>265</v>
      </c>
      <c r="D17">
        <v>0</v>
      </c>
      <c r="E17" t="s">
        <v>286</v>
      </c>
      <c r="F17" t="s">
        <v>78</v>
      </c>
      <c r="G17" t="s">
        <v>253</v>
      </c>
    </row>
    <row r="18" spans="1:7" x14ac:dyDescent="0.45">
      <c r="A18" t="s">
        <v>287</v>
      </c>
      <c r="B18" t="s">
        <v>264</v>
      </c>
      <c r="C18" t="s">
        <v>265</v>
      </c>
      <c r="D18">
        <v>1</v>
      </c>
      <c r="E18" t="s">
        <v>288</v>
      </c>
      <c r="F18" t="s">
        <v>79</v>
      </c>
      <c r="G18" t="s">
        <v>253</v>
      </c>
    </row>
    <row r="19" spans="1:7" x14ac:dyDescent="0.45">
      <c r="A19" t="s">
        <v>289</v>
      </c>
      <c r="B19" t="s">
        <v>264</v>
      </c>
      <c r="C19" t="s">
        <v>265</v>
      </c>
      <c r="D19">
        <v>0</v>
      </c>
      <c r="E19" t="s">
        <v>290</v>
      </c>
      <c r="F19" t="s">
        <v>80</v>
      </c>
      <c r="G19" t="s">
        <v>253</v>
      </c>
    </row>
    <row r="20" spans="1:7" x14ac:dyDescent="0.45">
      <c r="A20" t="s">
        <v>291</v>
      </c>
      <c r="B20" t="s">
        <v>264</v>
      </c>
      <c r="C20" t="s">
        <v>265</v>
      </c>
      <c r="D20">
        <v>0</v>
      </c>
      <c r="E20" t="s">
        <v>292</v>
      </c>
      <c r="F20" t="s">
        <v>81</v>
      </c>
      <c r="G20" t="s">
        <v>253</v>
      </c>
    </row>
    <row r="21" spans="1:7" x14ac:dyDescent="0.45">
      <c r="A21" t="s">
        <v>293</v>
      </c>
      <c r="B21" t="s">
        <v>264</v>
      </c>
      <c r="C21" t="s">
        <v>265</v>
      </c>
      <c r="D21">
        <v>0</v>
      </c>
      <c r="E21" t="s">
        <v>294</v>
      </c>
      <c r="F21" t="s">
        <v>82</v>
      </c>
      <c r="G21" t="s">
        <v>253</v>
      </c>
    </row>
    <row r="22" spans="1:7" x14ac:dyDescent="0.45">
      <c r="A22" t="s">
        <v>295</v>
      </c>
      <c r="B22" t="s">
        <v>264</v>
      </c>
      <c r="C22" t="s">
        <v>265</v>
      </c>
      <c r="D22">
        <v>0</v>
      </c>
      <c r="E22" t="s">
        <v>296</v>
      </c>
      <c r="F22" t="s">
        <v>83</v>
      </c>
      <c r="G22" t="s">
        <v>253</v>
      </c>
    </row>
    <row r="23" spans="1:7" x14ac:dyDescent="0.45">
      <c r="A23" t="s">
        <v>297</v>
      </c>
      <c r="B23" t="s">
        <v>264</v>
      </c>
      <c r="C23" t="s">
        <v>265</v>
      </c>
      <c r="D23">
        <v>1</v>
      </c>
      <c r="E23" t="s">
        <v>298</v>
      </c>
      <c r="F23" t="s">
        <v>84</v>
      </c>
      <c r="G23" t="s">
        <v>253</v>
      </c>
    </row>
    <row r="24" spans="1:7" x14ac:dyDescent="0.45">
      <c r="A24" t="s">
        <v>299</v>
      </c>
      <c r="B24" t="s">
        <v>264</v>
      </c>
      <c r="C24" t="s">
        <v>253</v>
      </c>
      <c r="D24">
        <v>0</v>
      </c>
      <c r="E24" t="s">
        <v>300</v>
      </c>
      <c r="F24" t="s">
        <v>40</v>
      </c>
      <c r="G24" t="s">
        <v>253</v>
      </c>
    </row>
    <row r="25" spans="1:7" x14ac:dyDescent="0.45">
      <c r="A25" t="s">
        <v>301</v>
      </c>
      <c r="B25" t="s">
        <v>264</v>
      </c>
      <c r="C25" t="s">
        <v>253</v>
      </c>
      <c r="D25">
        <v>0</v>
      </c>
      <c r="E25" t="s">
        <v>302</v>
      </c>
      <c r="F25" t="s">
        <v>41</v>
      </c>
      <c r="G25" t="s">
        <v>253</v>
      </c>
    </row>
    <row r="26" spans="1:7" x14ac:dyDescent="0.45">
      <c r="A26" t="s">
        <v>303</v>
      </c>
      <c r="B26" t="s">
        <v>264</v>
      </c>
      <c r="C26" t="s">
        <v>253</v>
      </c>
      <c r="D26">
        <v>0</v>
      </c>
      <c r="E26" t="s">
        <v>304</v>
      </c>
      <c r="F26" t="s">
        <v>42</v>
      </c>
      <c r="G26" t="s">
        <v>253</v>
      </c>
    </row>
    <row r="27" spans="1:7" x14ac:dyDescent="0.45">
      <c r="A27" t="s">
        <v>305</v>
      </c>
      <c r="B27" t="s">
        <v>264</v>
      </c>
      <c r="C27" t="s">
        <v>253</v>
      </c>
      <c r="D27">
        <v>1</v>
      </c>
      <c r="E27" t="s">
        <v>306</v>
      </c>
      <c r="F27" t="s">
        <v>43</v>
      </c>
      <c r="G27" t="s">
        <v>253</v>
      </c>
    </row>
    <row r="28" spans="1:7" x14ac:dyDescent="0.45">
      <c r="A28" t="s">
        <v>307</v>
      </c>
      <c r="B28" t="s">
        <v>264</v>
      </c>
      <c r="C28" t="s">
        <v>253</v>
      </c>
      <c r="D28">
        <v>0</v>
      </c>
      <c r="E28" t="s">
        <v>308</v>
      </c>
      <c r="F28" t="s">
        <v>44</v>
      </c>
      <c r="G28" t="s">
        <v>253</v>
      </c>
    </row>
    <row r="29" spans="1:7" x14ac:dyDescent="0.45">
      <c r="A29" t="s">
        <v>309</v>
      </c>
      <c r="B29" t="s">
        <v>264</v>
      </c>
      <c r="C29" t="s">
        <v>253</v>
      </c>
      <c r="D29">
        <v>0</v>
      </c>
      <c r="E29" t="s">
        <v>310</v>
      </c>
      <c r="F29" t="s">
        <v>45</v>
      </c>
      <c r="G29" t="s">
        <v>253</v>
      </c>
    </row>
    <row r="30" spans="1:7" x14ac:dyDescent="0.45">
      <c r="A30" t="s">
        <v>311</v>
      </c>
      <c r="B30" t="s">
        <v>264</v>
      </c>
      <c r="C30" t="s">
        <v>253</v>
      </c>
      <c r="D30">
        <v>0</v>
      </c>
      <c r="E30" t="s">
        <v>312</v>
      </c>
      <c r="F30" t="s">
        <v>46</v>
      </c>
      <c r="G30" t="s">
        <v>253</v>
      </c>
    </row>
    <row r="31" spans="1:7" x14ac:dyDescent="0.45">
      <c r="A31" t="s">
        <v>313</v>
      </c>
      <c r="B31" t="s">
        <v>264</v>
      </c>
      <c r="C31" t="s">
        <v>253</v>
      </c>
      <c r="D31">
        <v>0</v>
      </c>
      <c r="E31" t="s">
        <v>314</v>
      </c>
      <c r="F31" t="s">
        <v>47</v>
      </c>
      <c r="G31" t="s">
        <v>253</v>
      </c>
    </row>
    <row r="32" spans="1:7" x14ac:dyDescent="0.45">
      <c r="A32" t="s">
        <v>315</v>
      </c>
      <c r="B32" t="s">
        <v>264</v>
      </c>
      <c r="C32" t="s">
        <v>253</v>
      </c>
      <c r="D32">
        <v>1</v>
      </c>
      <c r="E32" t="s">
        <v>316</v>
      </c>
      <c r="F32" t="s">
        <v>48</v>
      </c>
      <c r="G32" t="s">
        <v>253</v>
      </c>
    </row>
    <row r="33" spans="1:7" x14ac:dyDescent="0.45">
      <c r="A33" t="s">
        <v>317</v>
      </c>
      <c r="B33" t="s">
        <v>264</v>
      </c>
      <c r="C33" t="s">
        <v>318</v>
      </c>
      <c r="D33">
        <v>0</v>
      </c>
      <c r="E33" t="s">
        <v>319</v>
      </c>
      <c r="F33" t="s">
        <v>86</v>
      </c>
      <c r="G33" t="s">
        <v>253</v>
      </c>
    </row>
    <row r="34" spans="1:7" x14ac:dyDescent="0.45">
      <c r="A34" t="s">
        <v>320</v>
      </c>
      <c r="B34" t="s">
        <v>264</v>
      </c>
      <c r="C34" t="s">
        <v>318</v>
      </c>
      <c r="D34">
        <v>0</v>
      </c>
      <c r="E34" t="s">
        <v>321</v>
      </c>
      <c r="F34" t="s">
        <v>87</v>
      </c>
      <c r="G34" t="s">
        <v>253</v>
      </c>
    </row>
    <row r="35" spans="1:7" x14ac:dyDescent="0.45">
      <c r="A35" t="s">
        <v>322</v>
      </c>
      <c r="B35" t="s">
        <v>264</v>
      </c>
      <c r="C35" t="s">
        <v>318</v>
      </c>
      <c r="D35">
        <v>0</v>
      </c>
      <c r="E35" t="s">
        <v>323</v>
      </c>
      <c r="F35" t="s">
        <v>88</v>
      </c>
      <c r="G35" t="s">
        <v>253</v>
      </c>
    </row>
    <row r="36" spans="1:7" x14ac:dyDescent="0.45">
      <c r="A36" t="s">
        <v>324</v>
      </c>
      <c r="B36" t="s">
        <v>264</v>
      </c>
      <c r="C36" t="s">
        <v>318</v>
      </c>
      <c r="D36">
        <v>0</v>
      </c>
      <c r="E36" t="s">
        <v>325</v>
      </c>
      <c r="F36" t="s">
        <v>89</v>
      </c>
      <c r="G36" t="s">
        <v>253</v>
      </c>
    </row>
    <row r="37" spans="1:7" x14ac:dyDescent="0.45">
      <c r="A37" t="s">
        <v>326</v>
      </c>
      <c r="B37" t="s">
        <v>264</v>
      </c>
      <c r="C37" t="s">
        <v>318</v>
      </c>
      <c r="D37">
        <v>0</v>
      </c>
      <c r="E37" t="s">
        <v>327</v>
      </c>
      <c r="F37" t="s">
        <v>90</v>
      </c>
      <c r="G37" t="s">
        <v>253</v>
      </c>
    </row>
    <row r="38" spans="1:7" x14ac:dyDescent="0.45">
      <c r="A38" t="s">
        <v>328</v>
      </c>
      <c r="B38" t="s">
        <v>264</v>
      </c>
      <c r="C38" t="s">
        <v>318</v>
      </c>
      <c r="D38">
        <v>0</v>
      </c>
      <c r="E38" t="s">
        <v>329</v>
      </c>
      <c r="F38" t="s">
        <v>91</v>
      </c>
      <c r="G38" t="s">
        <v>253</v>
      </c>
    </row>
    <row r="39" spans="1:7" x14ac:dyDescent="0.45">
      <c r="A39" t="s">
        <v>330</v>
      </c>
      <c r="B39" t="s">
        <v>264</v>
      </c>
      <c r="C39" t="s">
        <v>318</v>
      </c>
      <c r="D39">
        <v>0</v>
      </c>
      <c r="E39" t="s">
        <v>331</v>
      </c>
      <c r="F39" t="s">
        <v>92</v>
      </c>
      <c r="G39" t="s">
        <v>253</v>
      </c>
    </row>
    <row r="40" spans="1:7" x14ac:dyDescent="0.45">
      <c r="A40" t="s">
        <v>332</v>
      </c>
      <c r="B40" t="s">
        <v>333</v>
      </c>
      <c r="C40" t="s">
        <v>318</v>
      </c>
      <c r="D40">
        <v>0</v>
      </c>
      <c r="E40" t="s">
        <v>334</v>
      </c>
      <c r="F40" t="s">
        <v>93</v>
      </c>
      <c r="G40" t="s">
        <v>253</v>
      </c>
    </row>
    <row r="41" spans="1:7" x14ac:dyDescent="0.45">
      <c r="A41" t="s">
        <v>335</v>
      </c>
      <c r="B41" t="s">
        <v>264</v>
      </c>
      <c r="C41" t="s">
        <v>318</v>
      </c>
      <c r="D41">
        <v>0</v>
      </c>
      <c r="E41" t="s">
        <v>336</v>
      </c>
      <c r="F41" t="s">
        <v>94</v>
      </c>
      <c r="G41" t="s">
        <v>253</v>
      </c>
    </row>
    <row r="42" spans="1:7" x14ac:dyDescent="0.45">
      <c r="A42" t="s">
        <v>337</v>
      </c>
      <c r="B42" t="s">
        <v>264</v>
      </c>
      <c r="C42" t="s">
        <v>318</v>
      </c>
      <c r="D42">
        <v>0</v>
      </c>
      <c r="E42" t="s">
        <v>338</v>
      </c>
      <c r="F42" t="s">
        <v>95</v>
      </c>
      <c r="G42" t="s">
        <v>253</v>
      </c>
    </row>
    <row r="43" spans="1:7" x14ac:dyDescent="0.45">
      <c r="A43" t="s">
        <v>339</v>
      </c>
      <c r="B43" t="s">
        <v>264</v>
      </c>
      <c r="C43" t="s">
        <v>318</v>
      </c>
      <c r="D43">
        <v>0</v>
      </c>
      <c r="E43" t="s">
        <v>340</v>
      </c>
      <c r="F43" t="s">
        <v>96</v>
      </c>
      <c r="G43" t="s">
        <v>253</v>
      </c>
    </row>
    <row r="44" spans="1:7" x14ac:dyDescent="0.45">
      <c r="A44" t="s">
        <v>341</v>
      </c>
      <c r="B44" t="s">
        <v>264</v>
      </c>
      <c r="C44" t="s">
        <v>318</v>
      </c>
      <c r="D44">
        <v>1</v>
      </c>
      <c r="E44" t="s">
        <v>342</v>
      </c>
      <c r="F44" t="s">
        <v>97</v>
      </c>
      <c r="G44" t="s">
        <v>253</v>
      </c>
    </row>
    <row r="45" spans="1:7" x14ac:dyDescent="0.45">
      <c r="A45" t="s">
        <v>343</v>
      </c>
      <c r="B45" t="s">
        <v>264</v>
      </c>
      <c r="C45" t="s">
        <v>318</v>
      </c>
      <c r="D45">
        <v>1</v>
      </c>
      <c r="E45" t="s">
        <v>344</v>
      </c>
      <c r="F45" t="s">
        <v>98</v>
      </c>
      <c r="G45" t="s">
        <v>253</v>
      </c>
    </row>
    <row r="46" spans="1:7" x14ac:dyDescent="0.45">
      <c r="A46" t="s">
        <v>345</v>
      </c>
      <c r="B46" t="s">
        <v>264</v>
      </c>
      <c r="C46" t="s">
        <v>318</v>
      </c>
      <c r="D46">
        <v>1</v>
      </c>
      <c r="E46" t="s">
        <v>346</v>
      </c>
      <c r="F46" t="s">
        <v>99</v>
      </c>
      <c r="G46" t="s">
        <v>253</v>
      </c>
    </row>
    <row r="47" spans="1:7" x14ac:dyDescent="0.45">
      <c r="A47" t="s">
        <v>347</v>
      </c>
      <c r="B47" t="s">
        <v>333</v>
      </c>
      <c r="C47" t="s">
        <v>318</v>
      </c>
      <c r="D47">
        <v>0</v>
      </c>
      <c r="E47" t="s">
        <v>348</v>
      </c>
      <c r="F47" t="s">
        <v>100</v>
      </c>
      <c r="G47" t="s">
        <v>253</v>
      </c>
    </row>
    <row r="48" spans="1:7" x14ac:dyDescent="0.45">
      <c r="A48" t="s">
        <v>349</v>
      </c>
      <c r="B48" t="s">
        <v>264</v>
      </c>
      <c r="C48" t="s">
        <v>318</v>
      </c>
      <c r="D48">
        <v>0</v>
      </c>
      <c r="E48" t="s">
        <v>350</v>
      </c>
      <c r="F48" t="s">
        <v>101</v>
      </c>
      <c r="G48" t="s">
        <v>253</v>
      </c>
    </row>
    <row r="49" spans="1:7" x14ac:dyDescent="0.45">
      <c r="A49" t="s">
        <v>351</v>
      </c>
      <c r="B49" t="s">
        <v>264</v>
      </c>
      <c r="C49" t="s">
        <v>318</v>
      </c>
      <c r="D49">
        <v>0</v>
      </c>
      <c r="E49" t="s">
        <v>352</v>
      </c>
      <c r="F49" t="s">
        <v>102</v>
      </c>
      <c r="G49" t="s">
        <v>253</v>
      </c>
    </row>
    <row r="50" spans="1:7" x14ac:dyDescent="0.45">
      <c r="A50" t="s">
        <v>353</v>
      </c>
      <c r="B50" t="s">
        <v>264</v>
      </c>
      <c r="C50" t="s">
        <v>318</v>
      </c>
      <c r="D50">
        <v>0</v>
      </c>
      <c r="E50" t="s">
        <v>354</v>
      </c>
      <c r="F50" t="s">
        <v>103</v>
      </c>
      <c r="G50" t="s">
        <v>253</v>
      </c>
    </row>
    <row r="51" spans="1:7" x14ac:dyDescent="0.45">
      <c r="A51" t="s">
        <v>355</v>
      </c>
      <c r="B51" t="s">
        <v>264</v>
      </c>
      <c r="C51" t="s">
        <v>318</v>
      </c>
      <c r="D51">
        <v>0</v>
      </c>
      <c r="E51" t="s">
        <v>356</v>
      </c>
      <c r="F51" t="s">
        <v>104</v>
      </c>
      <c r="G51" t="s">
        <v>253</v>
      </c>
    </row>
    <row r="52" spans="1:7" x14ac:dyDescent="0.45">
      <c r="A52" t="s">
        <v>357</v>
      </c>
      <c r="B52" t="s">
        <v>264</v>
      </c>
      <c r="C52" t="s">
        <v>318</v>
      </c>
      <c r="D52">
        <v>0</v>
      </c>
      <c r="E52" t="s">
        <v>358</v>
      </c>
      <c r="F52" t="s">
        <v>105</v>
      </c>
      <c r="G52" t="s">
        <v>253</v>
      </c>
    </row>
    <row r="53" spans="1:7" x14ac:dyDescent="0.45">
      <c r="A53" t="s">
        <v>359</v>
      </c>
      <c r="B53" t="s">
        <v>264</v>
      </c>
      <c r="C53" t="s">
        <v>318</v>
      </c>
      <c r="D53">
        <v>0</v>
      </c>
      <c r="E53" t="s">
        <v>360</v>
      </c>
      <c r="F53" t="s">
        <v>106</v>
      </c>
      <c r="G53" t="s">
        <v>253</v>
      </c>
    </row>
    <row r="54" spans="1:7" x14ac:dyDescent="0.45">
      <c r="A54" t="s">
        <v>361</v>
      </c>
      <c r="B54" t="s">
        <v>264</v>
      </c>
      <c r="C54" t="s">
        <v>318</v>
      </c>
      <c r="D54">
        <v>1</v>
      </c>
      <c r="E54" t="s">
        <v>362</v>
      </c>
      <c r="F54" t="s">
        <v>107</v>
      </c>
      <c r="G54" t="s">
        <v>253</v>
      </c>
    </row>
    <row r="55" spans="1:7" x14ac:dyDescent="0.45">
      <c r="A55" t="s">
        <v>363</v>
      </c>
      <c r="B55" t="s">
        <v>333</v>
      </c>
      <c r="C55" t="s">
        <v>318</v>
      </c>
      <c r="D55">
        <v>0</v>
      </c>
      <c r="E55" t="s">
        <v>364</v>
      </c>
      <c r="F55" t="s">
        <v>108</v>
      </c>
      <c r="G55" t="s">
        <v>253</v>
      </c>
    </row>
    <row r="56" spans="1:7" x14ac:dyDescent="0.45">
      <c r="A56" t="s">
        <v>365</v>
      </c>
      <c r="B56" t="s">
        <v>264</v>
      </c>
      <c r="C56" t="s">
        <v>318</v>
      </c>
      <c r="D56">
        <v>1</v>
      </c>
      <c r="E56" t="s">
        <v>366</v>
      </c>
      <c r="F56" t="s">
        <v>109</v>
      </c>
      <c r="G56" t="s">
        <v>253</v>
      </c>
    </row>
    <row r="57" spans="1:7" x14ac:dyDescent="0.45">
      <c r="A57" t="s">
        <v>367</v>
      </c>
      <c r="B57" t="s">
        <v>264</v>
      </c>
      <c r="C57" t="s">
        <v>318</v>
      </c>
      <c r="D57">
        <v>0</v>
      </c>
      <c r="E57" t="s">
        <v>368</v>
      </c>
      <c r="F57" t="s">
        <v>110</v>
      </c>
      <c r="G57" t="s">
        <v>253</v>
      </c>
    </row>
    <row r="58" spans="1:7" x14ac:dyDescent="0.45">
      <c r="A58" t="s">
        <v>369</v>
      </c>
      <c r="B58" t="s">
        <v>264</v>
      </c>
      <c r="C58" t="s">
        <v>318</v>
      </c>
      <c r="D58">
        <v>1</v>
      </c>
      <c r="E58" t="s">
        <v>370</v>
      </c>
      <c r="F58" t="s">
        <v>111</v>
      </c>
      <c r="G58" t="s">
        <v>253</v>
      </c>
    </row>
    <row r="59" spans="1:7" x14ac:dyDescent="0.45">
      <c r="A59" t="s">
        <v>371</v>
      </c>
      <c r="B59" t="s">
        <v>333</v>
      </c>
      <c r="C59" t="s">
        <v>318</v>
      </c>
      <c r="D59">
        <v>0</v>
      </c>
      <c r="E59" t="s">
        <v>372</v>
      </c>
      <c r="F59" t="s">
        <v>112</v>
      </c>
      <c r="G59" t="s">
        <v>253</v>
      </c>
    </row>
    <row r="60" spans="1:7" x14ac:dyDescent="0.45">
      <c r="A60" t="s">
        <v>373</v>
      </c>
      <c r="B60" t="s">
        <v>264</v>
      </c>
      <c r="C60" t="s">
        <v>318</v>
      </c>
      <c r="D60">
        <v>0</v>
      </c>
      <c r="E60" t="s">
        <v>374</v>
      </c>
      <c r="F60" t="s">
        <v>113</v>
      </c>
      <c r="G60" t="s">
        <v>253</v>
      </c>
    </row>
    <row r="61" spans="1:7" x14ac:dyDescent="0.45">
      <c r="A61" t="s">
        <v>375</v>
      </c>
      <c r="B61" t="s">
        <v>264</v>
      </c>
      <c r="C61" t="s">
        <v>318</v>
      </c>
      <c r="D61">
        <v>1</v>
      </c>
      <c r="E61" t="s">
        <v>376</v>
      </c>
      <c r="F61" t="s">
        <v>114</v>
      </c>
      <c r="G61" t="s">
        <v>253</v>
      </c>
    </row>
    <row r="62" spans="1:7" x14ac:dyDescent="0.45">
      <c r="A62" t="s">
        <v>377</v>
      </c>
      <c r="B62" t="s">
        <v>333</v>
      </c>
      <c r="C62" t="s">
        <v>318</v>
      </c>
      <c r="D62">
        <v>0</v>
      </c>
      <c r="E62" t="s">
        <v>378</v>
      </c>
      <c r="F62" t="s">
        <v>115</v>
      </c>
      <c r="G62" t="s">
        <v>253</v>
      </c>
    </row>
    <row r="63" spans="1:7" x14ac:dyDescent="0.45">
      <c r="A63" t="s">
        <v>379</v>
      </c>
      <c r="B63" t="s">
        <v>264</v>
      </c>
      <c r="C63" t="s">
        <v>380</v>
      </c>
      <c r="D63">
        <v>0</v>
      </c>
      <c r="E63" t="s">
        <v>381</v>
      </c>
      <c r="F63" t="s">
        <v>136</v>
      </c>
      <c r="G63" t="s">
        <v>253</v>
      </c>
    </row>
    <row r="64" spans="1:7" x14ac:dyDescent="0.45">
      <c r="A64" t="s">
        <v>382</v>
      </c>
      <c r="B64" t="s">
        <v>264</v>
      </c>
      <c r="C64" t="s">
        <v>380</v>
      </c>
      <c r="D64">
        <v>0</v>
      </c>
      <c r="E64" t="s">
        <v>383</v>
      </c>
      <c r="F64" t="s">
        <v>137</v>
      </c>
      <c r="G64" t="s">
        <v>253</v>
      </c>
    </row>
    <row r="65" spans="1:7" x14ac:dyDescent="0.45">
      <c r="A65" t="s">
        <v>384</v>
      </c>
      <c r="B65" t="s">
        <v>264</v>
      </c>
      <c r="C65" t="s">
        <v>380</v>
      </c>
      <c r="D65">
        <v>0</v>
      </c>
      <c r="E65" t="s">
        <v>385</v>
      </c>
      <c r="F65" t="s">
        <v>138</v>
      </c>
      <c r="G65" t="s">
        <v>253</v>
      </c>
    </row>
    <row r="66" spans="1:7" x14ac:dyDescent="0.45">
      <c r="A66" t="s">
        <v>386</v>
      </c>
      <c r="B66" t="s">
        <v>264</v>
      </c>
      <c r="C66" t="s">
        <v>380</v>
      </c>
      <c r="D66">
        <v>0</v>
      </c>
      <c r="E66" t="s">
        <v>387</v>
      </c>
      <c r="F66" t="s">
        <v>139</v>
      </c>
      <c r="G66" t="s">
        <v>253</v>
      </c>
    </row>
    <row r="67" spans="1:7" x14ac:dyDescent="0.45">
      <c r="A67" t="s">
        <v>388</v>
      </c>
      <c r="B67" t="s">
        <v>264</v>
      </c>
      <c r="C67" t="s">
        <v>380</v>
      </c>
      <c r="D67">
        <v>0</v>
      </c>
      <c r="E67" t="s">
        <v>389</v>
      </c>
      <c r="F67" t="s">
        <v>140</v>
      </c>
      <c r="G67" t="s">
        <v>253</v>
      </c>
    </row>
    <row r="68" spans="1:7" x14ac:dyDescent="0.45">
      <c r="A68" t="s">
        <v>390</v>
      </c>
      <c r="B68" t="s">
        <v>264</v>
      </c>
      <c r="C68" t="s">
        <v>380</v>
      </c>
      <c r="D68">
        <v>0</v>
      </c>
      <c r="E68" t="s">
        <v>391</v>
      </c>
      <c r="F68" t="s">
        <v>141</v>
      </c>
      <c r="G68" t="s">
        <v>253</v>
      </c>
    </row>
    <row r="69" spans="1:7" x14ac:dyDescent="0.45">
      <c r="A69" t="s">
        <v>392</v>
      </c>
      <c r="B69" t="s">
        <v>264</v>
      </c>
      <c r="C69" t="s">
        <v>380</v>
      </c>
      <c r="D69">
        <v>0</v>
      </c>
      <c r="E69" t="s">
        <v>393</v>
      </c>
      <c r="F69" t="s">
        <v>142</v>
      </c>
      <c r="G69" t="s">
        <v>253</v>
      </c>
    </row>
    <row r="70" spans="1:7" x14ac:dyDescent="0.45">
      <c r="A70" t="s">
        <v>394</v>
      </c>
      <c r="B70" t="s">
        <v>333</v>
      </c>
      <c r="C70" t="s">
        <v>380</v>
      </c>
      <c r="D70">
        <v>0</v>
      </c>
      <c r="E70" t="s">
        <v>395</v>
      </c>
      <c r="F70" t="s">
        <v>143</v>
      </c>
      <c r="G70" t="s">
        <v>253</v>
      </c>
    </row>
    <row r="71" spans="1:7" x14ac:dyDescent="0.45">
      <c r="A71" t="s">
        <v>396</v>
      </c>
      <c r="B71" t="s">
        <v>264</v>
      </c>
      <c r="C71" t="s">
        <v>380</v>
      </c>
      <c r="D71">
        <v>0</v>
      </c>
      <c r="E71" t="s">
        <v>397</v>
      </c>
      <c r="F71" t="s">
        <v>144</v>
      </c>
      <c r="G71" t="s">
        <v>253</v>
      </c>
    </row>
    <row r="72" spans="1:7" x14ac:dyDescent="0.45">
      <c r="A72" t="s">
        <v>398</v>
      </c>
      <c r="B72" t="s">
        <v>264</v>
      </c>
      <c r="C72" t="s">
        <v>380</v>
      </c>
      <c r="D72">
        <v>0</v>
      </c>
      <c r="E72" t="s">
        <v>399</v>
      </c>
      <c r="F72" t="s">
        <v>145</v>
      </c>
      <c r="G72" t="s">
        <v>253</v>
      </c>
    </row>
    <row r="73" spans="1:7" x14ac:dyDescent="0.45">
      <c r="A73" t="s">
        <v>400</v>
      </c>
      <c r="B73" t="s">
        <v>264</v>
      </c>
      <c r="C73" t="s">
        <v>380</v>
      </c>
      <c r="D73">
        <v>0</v>
      </c>
      <c r="E73" t="s">
        <v>401</v>
      </c>
      <c r="F73" t="s">
        <v>146</v>
      </c>
      <c r="G73" t="s">
        <v>253</v>
      </c>
    </row>
    <row r="74" spans="1:7" x14ac:dyDescent="0.45">
      <c r="A74" t="s">
        <v>402</v>
      </c>
      <c r="B74" t="s">
        <v>264</v>
      </c>
      <c r="C74" t="s">
        <v>380</v>
      </c>
      <c r="D74">
        <v>1</v>
      </c>
      <c r="E74" t="s">
        <v>403</v>
      </c>
      <c r="F74" t="s">
        <v>147</v>
      </c>
      <c r="G74" t="s">
        <v>253</v>
      </c>
    </row>
    <row r="75" spans="1:7" x14ac:dyDescent="0.45">
      <c r="A75" t="s">
        <v>404</v>
      </c>
      <c r="B75" t="s">
        <v>264</v>
      </c>
      <c r="C75" t="s">
        <v>380</v>
      </c>
      <c r="D75">
        <v>1</v>
      </c>
      <c r="E75" t="s">
        <v>405</v>
      </c>
      <c r="F75" t="s">
        <v>148</v>
      </c>
      <c r="G75" t="s">
        <v>253</v>
      </c>
    </row>
    <row r="76" spans="1:7" x14ac:dyDescent="0.45">
      <c r="A76" t="s">
        <v>406</v>
      </c>
      <c r="B76" t="s">
        <v>264</v>
      </c>
      <c r="C76" t="s">
        <v>380</v>
      </c>
      <c r="D76">
        <v>1</v>
      </c>
      <c r="E76" t="s">
        <v>407</v>
      </c>
      <c r="F76" t="s">
        <v>149</v>
      </c>
      <c r="G76" t="s">
        <v>253</v>
      </c>
    </row>
    <row r="77" spans="1:7" x14ac:dyDescent="0.45">
      <c r="A77" t="s">
        <v>408</v>
      </c>
      <c r="B77" t="s">
        <v>333</v>
      </c>
      <c r="C77" t="s">
        <v>380</v>
      </c>
      <c r="D77">
        <v>0</v>
      </c>
      <c r="E77" t="s">
        <v>409</v>
      </c>
      <c r="F77" t="s">
        <v>150</v>
      </c>
      <c r="G77" t="s">
        <v>253</v>
      </c>
    </row>
    <row r="78" spans="1:7" x14ac:dyDescent="0.45">
      <c r="A78" t="s">
        <v>410</v>
      </c>
      <c r="B78" t="s">
        <v>264</v>
      </c>
      <c r="C78" t="s">
        <v>380</v>
      </c>
      <c r="D78">
        <v>0</v>
      </c>
      <c r="E78" t="s">
        <v>411</v>
      </c>
      <c r="F78" t="s">
        <v>151</v>
      </c>
      <c r="G78" t="s">
        <v>253</v>
      </c>
    </row>
    <row r="79" spans="1:7" x14ac:dyDescent="0.45">
      <c r="A79" t="s">
        <v>412</v>
      </c>
      <c r="B79" t="s">
        <v>264</v>
      </c>
      <c r="C79" t="s">
        <v>380</v>
      </c>
      <c r="D79">
        <v>0</v>
      </c>
      <c r="E79" t="s">
        <v>413</v>
      </c>
      <c r="F79" t="s">
        <v>152</v>
      </c>
      <c r="G79" t="s">
        <v>253</v>
      </c>
    </row>
    <row r="80" spans="1:7" x14ac:dyDescent="0.45">
      <c r="A80" t="s">
        <v>414</v>
      </c>
      <c r="B80" t="s">
        <v>264</v>
      </c>
      <c r="C80" t="s">
        <v>380</v>
      </c>
      <c r="D80">
        <v>0</v>
      </c>
      <c r="E80" t="s">
        <v>415</v>
      </c>
      <c r="F80" t="s">
        <v>153</v>
      </c>
      <c r="G80" t="s">
        <v>253</v>
      </c>
    </row>
    <row r="81" spans="1:7" x14ac:dyDescent="0.45">
      <c r="A81" t="s">
        <v>416</v>
      </c>
      <c r="B81" t="s">
        <v>264</v>
      </c>
      <c r="C81" t="s">
        <v>380</v>
      </c>
      <c r="D81">
        <v>0</v>
      </c>
      <c r="E81" t="s">
        <v>417</v>
      </c>
      <c r="F81" t="s">
        <v>154</v>
      </c>
      <c r="G81" t="s">
        <v>253</v>
      </c>
    </row>
    <row r="82" spans="1:7" x14ac:dyDescent="0.45">
      <c r="A82" t="s">
        <v>418</v>
      </c>
      <c r="B82" t="s">
        <v>264</v>
      </c>
      <c r="C82" t="s">
        <v>380</v>
      </c>
      <c r="D82">
        <v>0</v>
      </c>
      <c r="E82" t="s">
        <v>419</v>
      </c>
      <c r="F82" t="s">
        <v>155</v>
      </c>
      <c r="G82" t="s">
        <v>253</v>
      </c>
    </row>
    <row r="83" spans="1:7" x14ac:dyDescent="0.45">
      <c r="A83" t="s">
        <v>420</v>
      </c>
      <c r="B83" t="s">
        <v>264</v>
      </c>
      <c r="C83" t="s">
        <v>380</v>
      </c>
      <c r="D83">
        <v>0</v>
      </c>
      <c r="E83" t="s">
        <v>421</v>
      </c>
      <c r="F83" t="s">
        <v>156</v>
      </c>
      <c r="G83" t="s">
        <v>253</v>
      </c>
    </row>
    <row r="84" spans="1:7" x14ac:dyDescent="0.45">
      <c r="A84" t="s">
        <v>422</v>
      </c>
      <c r="B84" t="s">
        <v>264</v>
      </c>
      <c r="C84" t="s">
        <v>380</v>
      </c>
      <c r="D84">
        <v>1</v>
      </c>
      <c r="E84" t="s">
        <v>423</v>
      </c>
      <c r="F84" t="s">
        <v>157</v>
      </c>
      <c r="G84" t="s">
        <v>253</v>
      </c>
    </row>
    <row r="85" spans="1:7" x14ac:dyDescent="0.45">
      <c r="A85" t="s">
        <v>424</v>
      </c>
      <c r="B85" t="s">
        <v>333</v>
      </c>
      <c r="C85" t="s">
        <v>380</v>
      </c>
      <c r="D85">
        <v>0</v>
      </c>
      <c r="E85" t="s">
        <v>425</v>
      </c>
      <c r="F85" t="s">
        <v>158</v>
      </c>
      <c r="G85" t="s">
        <v>253</v>
      </c>
    </row>
    <row r="86" spans="1:7" x14ac:dyDescent="0.45">
      <c r="A86" t="s">
        <v>426</v>
      </c>
      <c r="B86" t="s">
        <v>264</v>
      </c>
      <c r="C86" t="s">
        <v>380</v>
      </c>
      <c r="D86">
        <v>1</v>
      </c>
      <c r="E86" t="s">
        <v>427</v>
      </c>
      <c r="F86" t="s">
        <v>159</v>
      </c>
      <c r="G86" t="s">
        <v>253</v>
      </c>
    </row>
    <row r="87" spans="1:7" x14ac:dyDescent="0.45">
      <c r="A87" t="s">
        <v>428</v>
      </c>
      <c r="B87" t="s">
        <v>264</v>
      </c>
      <c r="C87" t="s">
        <v>380</v>
      </c>
      <c r="D87">
        <v>0</v>
      </c>
      <c r="E87" t="s">
        <v>429</v>
      </c>
      <c r="F87" t="s">
        <v>160</v>
      </c>
      <c r="G87" t="s">
        <v>253</v>
      </c>
    </row>
    <row r="88" spans="1:7" x14ac:dyDescent="0.45">
      <c r="A88" t="s">
        <v>430</v>
      </c>
      <c r="B88" t="s">
        <v>264</v>
      </c>
      <c r="C88" t="s">
        <v>380</v>
      </c>
      <c r="D88">
        <v>1</v>
      </c>
      <c r="E88" t="s">
        <v>431</v>
      </c>
      <c r="F88" t="s">
        <v>161</v>
      </c>
      <c r="G88" t="s">
        <v>253</v>
      </c>
    </row>
    <row r="89" spans="1:7" x14ac:dyDescent="0.45">
      <c r="A89" t="s">
        <v>432</v>
      </c>
      <c r="B89" t="s">
        <v>333</v>
      </c>
      <c r="C89" t="s">
        <v>380</v>
      </c>
      <c r="D89">
        <v>0</v>
      </c>
      <c r="E89" t="s">
        <v>433</v>
      </c>
      <c r="F89" t="s">
        <v>162</v>
      </c>
      <c r="G89" t="s">
        <v>253</v>
      </c>
    </row>
    <row r="90" spans="1:7" x14ac:dyDescent="0.45">
      <c r="A90" t="s">
        <v>434</v>
      </c>
      <c r="B90" t="s">
        <v>264</v>
      </c>
      <c r="C90" t="s">
        <v>380</v>
      </c>
      <c r="D90">
        <v>0</v>
      </c>
      <c r="E90" t="s">
        <v>435</v>
      </c>
      <c r="F90" t="s">
        <v>163</v>
      </c>
      <c r="G90" t="s">
        <v>253</v>
      </c>
    </row>
    <row r="91" spans="1:7" x14ac:dyDescent="0.45">
      <c r="A91" t="s">
        <v>436</v>
      </c>
      <c r="B91" t="s">
        <v>264</v>
      </c>
      <c r="C91" t="s">
        <v>380</v>
      </c>
      <c r="D91">
        <v>1</v>
      </c>
      <c r="E91" t="s">
        <v>437</v>
      </c>
      <c r="F91" t="s">
        <v>164</v>
      </c>
      <c r="G91" t="s">
        <v>253</v>
      </c>
    </row>
    <row r="92" spans="1:7" x14ac:dyDescent="0.45">
      <c r="A92" t="s">
        <v>438</v>
      </c>
      <c r="B92" t="s">
        <v>333</v>
      </c>
      <c r="C92" t="s">
        <v>380</v>
      </c>
      <c r="D92">
        <v>0</v>
      </c>
      <c r="E92" t="s">
        <v>439</v>
      </c>
      <c r="F92" t="s">
        <v>165</v>
      </c>
      <c r="G92" t="s">
        <v>253</v>
      </c>
    </row>
    <row r="93" spans="1:7" x14ac:dyDescent="0.45">
      <c r="A93" t="s">
        <v>440</v>
      </c>
      <c r="B93" t="s">
        <v>441</v>
      </c>
      <c r="C93" t="s">
        <v>253</v>
      </c>
      <c r="D93">
        <v>0</v>
      </c>
      <c r="E93" t="s">
        <v>442</v>
      </c>
      <c r="F93" t="s">
        <v>49</v>
      </c>
      <c r="G93" t="s">
        <v>253</v>
      </c>
    </row>
    <row r="94" spans="1:7" x14ac:dyDescent="0.45">
      <c r="A94" t="s">
        <v>443</v>
      </c>
      <c r="B94" t="s">
        <v>441</v>
      </c>
      <c r="C94" t="s">
        <v>253</v>
      </c>
      <c r="D94">
        <v>0</v>
      </c>
      <c r="E94" t="s">
        <v>444</v>
      </c>
      <c r="F94" t="s">
        <v>50</v>
      </c>
      <c r="G94" t="s">
        <v>253</v>
      </c>
    </row>
    <row r="95" spans="1:7" x14ac:dyDescent="0.45">
      <c r="A95" t="s">
        <v>445</v>
      </c>
      <c r="B95" t="s">
        <v>441</v>
      </c>
      <c r="C95" t="s">
        <v>253</v>
      </c>
      <c r="D95">
        <v>0</v>
      </c>
      <c r="E95" t="s">
        <v>446</v>
      </c>
      <c r="F95" t="s">
        <v>51</v>
      </c>
      <c r="G95" t="s">
        <v>253</v>
      </c>
    </row>
    <row r="96" spans="1:7" x14ac:dyDescent="0.45">
      <c r="A96" t="s">
        <v>447</v>
      </c>
      <c r="B96" t="s">
        <v>441</v>
      </c>
      <c r="C96" t="s">
        <v>253</v>
      </c>
      <c r="D96">
        <v>0</v>
      </c>
      <c r="E96" t="s">
        <v>448</v>
      </c>
      <c r="F96" t="s">
        <v>52</v>
      </c>
      <c r="G96" t="s">
        <v>253</v>
      </c>
    </row>
    <row r="97" spans="1:7" x14ac:dyDescent="0.45">
      <c r="A97" t="s">
        <v>449</v>
      </c>
      <c r="B97" t="s">
        <v>441</v>
      </c>
      <c r="C97" t="s">
        <v>253</v>
      </c>
      <c r="D97">
        <v>0</v>
      </c>
      <c r="E97" t="s">
        <v>450</v>
      </c>
      <c r="F97" t="s">
        <v>53</v>
      </c>
      <c r="G97" t="s">
        <v>253</v>
      </c>
    </row>
    <row r="98" spans="1:7" x14ac:dyDescent="0.45">
      <c r="A98" t="s">
        <v>451</v>
      </c>
      <c r="B98" t="s">
        <v>441</v>
      </c>
      <c r="C98" t="s">
        <v>253</v>
      </c>
      <c r="D98">
        <v>0</v>
      </c>
      <c r="E98" t="s">
        <v>452</v>
      </c>
      <c r="F98" t="s">
        <v>54</v>
      </c>
      <c r="G98" t="s">
        <v>253</v>
      </c>
    </row>
    <row r="99" spans="1:7" x14ac:dyDescent="0.45">
      <c r="A99" t="s">
        <v>453</v>
      </c>
      <c r="B99" t="s">
        <v>441</v>
      </c>
      <c r="C99" t="s">
        <v>253</v>
      </c>
      <c r="D99">
        <v>0</v>
      </c>
      <c r="E99" t="s">
        <v>454</v>
      </c>
      <c r="F99" t="s">
        <v>55</v>
      </c>
      <c r="G99" t="s">
        <v>253</v>
      </c>
    </row>
    <row r="100" spans="1:7" x14ac:dyDescent="0.45">
      <c r="A100" t="s">
        <v>455</v>
      </c>
      <c r="B100" t="s">
        <v>441</v>
      </c>
      <c r="C100" t="s">
        <v>253</v>
      </c>
      <c r="D100">
        <v>0</v>
      </c>
      <c r="E100" t="s">
        <v>456</v>
      </c>
      <c r="F100" t="s">
        <v>56</v>
      </c>
      <c r="G100" t="s">
        <v>253</v>
      </c>
    </row>
    <row r="101" spans="1:7" x14ac:dyDescent="0.45">
      <c r="A101" t="s">
        <v>457</v>
      </c>
      <c r="B101" t="s">
        <v>441</v>
      </c>
      <c r="C101" t="s">
        <v>253</v>
      </c>
      <c r="D101">
        <v>0</v>
      </c>
      <c r="E101" t="s">
        <v>458</v>
      </c>
      <c r="F101" t="s">
        <v>57</v>
      </c>
      <c r="G101" t="s">
        <v>253</v>
      </c>
    </row>
    <row r="102" spans="1:7" x14ac:dyDescent="0.45">
      <c r="A102" t="s">
        <v>459</v>
      </c>
      <c r="B102" t="s">
        <v>441</v>
      </c>
      <c r="C102" t="s">
        <v>253</v>
      </c>
      <c r="D102">
        <v>0</v>
      </c>
      <c r="E102" t="s">
        <v>460</v>
      </c>
      <c r="F102" t="s">
        <v>58</v>
      </c>
      <c r="G102" t="s">
        <v>253</v>
      </c>
    </row>
    <row r="103" spans="1:7" x14ac:dyDescent="0.45">
      <c r="A103" t="s">
        <v>461</v>
      </c>
      <c r="B103" t="s">
        <v>441</v>
      </c>
      <c r="C103" t="s">
        <v>253</v>
      </c>
      <c r="D103">
        <v>0</v>
      </c>
      <c r="E103" t="s">
        <v>462</v>
      </c>
      <c r="F103" t="s">
        <v>59</v>
      </c>
      <c r="G103" t="s">
        <v>253</v>
      </c>
    </row>
    <row r="104" spans="1:7" x14ac:dyDescent="0.45">
      <c r="A104" t="s">
        <v>463</v>
      </c>
      <c r="B104" t="s">
        <v>441</v>
      </c>
      <c r="C104" t="s">
        <v>253</v>
      </c>
      <c r="D104">
        <v>0</v>
      </c>
      <c r="E104" t="s">
        <v>464</v>
      </c>
      <c r="F104" t="s">
        <v>60</v>
      </c>
      <c r="G104" t="s">
        <v>253</v>
      </c>
    </row>
    <row r="105" spans="1:7" x14ac:dyDescent="0.45">
      <c r="A105" t="s">
        <v>465</v>
      </c>
      <c r="B105" t="s">
        <v>441</v>
      </c>
      <c r="C105" t="s">
        <v>253</v>
      </c>
      <c r="D105">
        <v>0</v>
      </c>
      <c r="E105" t="s">
        <v>466</v>
      </c>
      <c r="F105" t="s">
        <v>61</v>
      </c>
      <c r="G105" t="s">
        <v>253</v>
      </c>
    </row>
    <row r="106" spans="1:7" x14ac:dyDescent="0.45">
      <c r="A106" t="s">
        <v>467</v>
      </c>
      <c r="B106" t="s">
        <v>441</v>
      </c>
      <c r="C106" t="s">
        <v>253</v>
      </c>
      <c r="D106">
        <v>0</v>
      </c>
      <c r="E106" t="s">
        <v>468</v>
      </c>
      <c r="F106" t="s">
        <v>62</v>
      </c>
      <c r="G106" t="s">
        <v>253</v>
      </c>
    </row>
    <row r="107" spans="1:7" x14ac:dyDescent="0.45">
      <c r="A107" t="s">
        <v>469</v>
      </c>
      <c r="B107" t="s">
        <v>441</v>
      </c>
      <c r="C107" t="s">
        <v>253</v>
      </c>
      <c r="D107">
        <v>0</v>
      </c>
      <c r="E107" t="s">
        <v>470</v>
      </c>
      <c r="F107" t="s">
        <v>63</v>
      </c>
      <c r="G107" t="s">
        <v>253</v>
      </c>
    </row>
    <row r="108" spans="1:7" x14ac:dyDescent="0.45">
      <c r="A108" t="s">
        <v>471</v>
      </c>
      <c r="B108" t="s">
        <v>441</v>
      </c>
      <c r="C108" t="s">
        <v>253</v>
      </c>
      <c r="D108">
        <v>0</v>
      </c>
      <c r="E108" t="s">
        <v>472</v>
      </c>
      <c r="F108" t="s">
        <v>64</v>
      </c>
      <c r="G108" t="s">
        <v>253</v>
      </c>
    </row>
    <row r="109" spans="1:7" x14ac:dyDescent="0.45">
      <c r="A109" t="s">
        <v>473</v>
      </c>
      <c r="B109" t="s">
        <v>441</v>
      </c>
      <c r="C109" t="s">
        <v>253</v>
      </c>
      <c r="D109">
        <v>0</v>
      </c>
      <c r="E109" t="s">
        <v>474</v>
      </c>
      <c r="F109" t="s">
        <v>65</v>
      </c>
      <c r="G109" t="s">
        <v>253</v>
      </c>
    </row>
    <row r="110" spans="1:7" x14ac:dyDescent="0.45">
      <c r="A110" t="s">
        <v>475</v>
      </c>
      <c r="B110" t="s">
        <v>441</v>
      </c>
      <c r="C110" t="s">
        <v>253</v>
      </c>
      <c r="D110">
        <v>0</v>
      </c>
      <c r="E110" t="s">
        <v>476</v>
      </c>
      <c r="F110" t="s">
        <v>66</v>
      </c>
      <c r="G110" t="s">
        <v>253</v>
      </c>
    </row>
    <row r="111" spans="1:7" x14ac:dyDescent="0.45">
      <c r="A111" t="s">
        <v>477</v>
      </c>
      <c r="B111" t="s">
        <v>441</v>
      </c>
      <c r="C111" t="s">
        <v>253</v>
      </c>
      <c r="D111">
        <v>0</v>
      </c>
      <c r="E111" t="s">
        <v>478</v>
      </c>
      <c r="F111" t="s">
        <v>67</v>
      </c>
      <c r="G111" t="s">
        <v>253</v>
      </c>
    </row>
    <row r="112" spans="1:7" x14ac:dyDescent="0.45">
      <c r="A112" t="s">
        <v>479</v>
      </c>
      <c r="B112" t="s">
        <v>441</v>
      </c>
      <c r="C112" t="s">
        <v>253</v>
      </c>
      <c r="D112">
        <v>0</v>
      </c>
      <c r="E112" t="s">
        <v>480</v>
      </c>
      <c r="F112" t="s">
        <v>116</v>
      </c>
      <c r="G112" t="s">
        <v>253</v>
      </c>
    </row>
    <row r="113" spans="1:7" x14ac:dyDescent="0.45">
      <c r="A113" t="s">
        <v>481</v>
      </c>
      <c r="B113" t="s">
        <v>441</v>
      </c>
      <c r="C113" t="s">
        <v>253</v>
      </c>
      <c r="D113">
        <v>0</v>
      </c>
      <c r="E113" t="s">
        <v>482</v>
      </c>
      <c r="F113" t="s">
        <v>117</v>
      </c>
      <c r="G113" t="s">
        <v>253</v>
      </c>
    </row>
    <row r="114" spans="1:7" x14ac:dyDescent="0.45">
      <c r="A114" t="s">
        <v>483</v>
      </c>
      <c r="B114" t="s">
        <v>441</v>
      </c>
      <c r="C114" t="s">
        <v>253</v>
      </c>
      <c r="D114">
        <v>0</v>
      </c>
      <c r="E114" t="s">
        <v>484</v>
      </c>
      <c r="F114" t="s">
        <v>118</v>
      </c>
      <c r="G114" t="s">
        <v>253</v>
      </c>
    </row>
    <row r="115" spans="1:7" x14ac:dyDescent="0.45">
      <c r="A115" t="s">
        <v>485</v>
      </c>
      <c r="B115" t="s">
        <v>441</v>
      </c>
      <c r="C115" t="s">
        <v>253</v>
      </c>
      <c r="D115">
        <v>0</v>
      </c>
      <c r="E115" t="s">
        <v>486</v>
      </c>
      <c r="F115" t="s">
        <v>119</v>
      </c>
      <c r="G115" t="s">
        <v>253</v>
      </c>
    </row>
    <row r="116" spans="1:7" x14ac:dyDescent="0.45">
      <c r="A116" t="s">
        <v>487</v>
      </c>
      <c r="B116" t="s">
        <v>441</v>
      </c>
      <c r="C116" t="s">
        <v>253</v>
      </c>
      <c r="D116">
        <v>0</v>
      </c>
      <c r="E116" t="s">
        <v>488</v>
      </c>
      <c r="F116" t="s">
        <v>120</v>
      </c>
      <c r="G116" t="s">
        <v>253</v>
      </c>
    </row>
    <row r="117" spans="1:7" x14ac:dyDescent="0.45">
      <c r="A117" t="s">
        <v>489</v>
      </c>
      <c r="B117" t="s">
        <v>441</v>
      </c>
      <c r="C117" t="s">
        <v>253</v>
      </c>
      <c r="D117">
        <v>0</v>
      </c>
      <c r="E117" t="s">
        <v>490</v>
      </c>
      <c r="F117" t="s">
        <v>121</v>
      </c>
      <c r="G117" t="s">
        <v>253</v>
      </c>
    </row>
    <row r="118" spans="1:7" x14ac:dyDescent="0.45">
      <c r="A118" t="s">
        <v>491</v>
      </c>
      <c r="B118" t="s">
        <v>441</v>
      </c>
      <c r="C118" t="s">
        <v>253</v>
      </c>
      <c r="D118">
        <v>0</v>
      </c>
      <c r="E118" t="s">
        <v>492</v>
      </c>
      <c r="F118" t="s">
        <v>122</v>
      </c>
      <c r="G118" t="s">
        <v>253</v>
      </c>
    </row>
    <row r="119" spans="1:7" x14ac:dyDescent="0.45">
      <c r="A119" t="s">
        <v>493</v>
      </c>
      <c r="B119" t="s">
        <v>441</v>
      </c>
      <c r="C119" t="s">
        <v>253</v>
      </c>
      <c r="D119">
        <v>0</v>
      </c>
      <c r="E119" t="s">
        <v>494</v>
      </c>
      <c r="F119" t="s">
        <v>123</v>
      </c>
      <c r="G119" t="s">
        <v>253</v>
      </c>
    </row>
    <row r="120" spans="1:7" x14ac:dyDescent="0.45">
      <c r="A120" t="s">
        <v>495</v>
      </c>
      <c r="B120" t="s">
        <v>441</v>
      </c>
      <c r="C120" t="s">
        <v>253</v>
      </c>
      <c r="D120">
        <v>0</v>
      </c>
      <c r="E120" t="s">
        <v>496</v>
      </c>
      <c r="F120" t="s">
        <v>124</v>
      </c>
      <c r="G120" t="s">
        <v>253</v>
      </c>
    </row>
    <row r="121" spans="1:7" x14ac:dyDescent="0.45">
      <c r="A121" t="s">
        <v>497</v>
      </c>
      <c r="B121" t="s">
        <v>441</v>
      </c>
      <c r="C121" t="s">
        <v>253</v>
      </c>
      <c r="D121">
        <v>0</v>
      </c>
      <c r="E121" t="s">
        <v>498</v>
      </c>
      <c r="F121" t="s">
        <v>125</v>
      </c>
      <c r="G121" t="s">
        <v>253</v>
      </c>
    </row>
    <row r="122" spans="1:7" x14ac:dyDescent="0.45">
      <c r="A122" t="s">
        <v>499</v>
      </c>
      <c r="B122" t="s">
        <v>441</v>
      </c>
      <c r="C122" t="s">
        <v>253</v>
      </c>
      <c r="D122">
        <v>0</v>
      </c>
      <c r="E122" t="s">
        <v>500</v>
      </c>
      <c r="F122" t="s">
        <v>126</v>
      </c>
      <c r="G122" t="s">
        <v>253</v>
      </c>
    </row>
    <row r="123" spans="1:7" x14ac:dyDescent="0.45">
      <c r="A123" t="s">
        <v>501</v>
      </c>
      <c r="B123" t="s">
        <v>441</v>
      </c>
      <c r="C123" t="s">
        <v>253</v>
      </c>
      <c r="D123">
        <v>0</v>
      </c>
      <c r="E123" t="s">
        <v>502</v>
      </c>
      <c r="F123" t="s">
        <v>127</v>
      </c>
      <c r="G123" t="s">
        <v>253</v>
      </c>
    </row>
    <row r="124" spans="1:7" x14ac:dyDescent="0.45">
      <c r="A124" t="s">
        <v>503</v>
      </c>
      <c r="B124" t="s">
        <v>441</v>
      </c>
      <c r="C124" t="s">
        <v>253</v>
      </c>
      <c r="D124">
        <v>0</v>
      </c>
      <c r="E124" t="s">
        <v>504</v>
      </c>
      <c r="F124" t="s">
        <v>128</v>
      </c>
      <c r="G124" t="s">
        <v>253</v>
      </c>
    </row>
    <row r="125" spans="1:7" x14ac:dyDescent="0.45">
      <c r="A125" t="s">
        <v>505</v>
      </c>
      <c r="B125" t="s">
        <v>441</v>
      </c>
      <c r="C125" t="s">
        <v>253</v>
      </c>
      <c r="D125">
        <v>0</v>
      </c>
      <c r="E125" t="s">
        <v>506</v>
      </c>
      <c r="F125" t="s">
        <v>129</v>
      </c>
      <c r="G125" t="s">
        <v>253</v>
      </c>
    </row>
    <row r="126" spans="1:7" x14ac:dyDescent="0.45">
      <c r="A126" t="s">
        <v>507</v>
      </c>
      <c r="B126" t="s">
        <v>441</v>
      </c>
      <c r="C126" t="s">
        <v>253</v>
      </c>
      <c r="D126">
        <v>0</v>
      </c>
      <c r="E126" t="s">
        <v>508</v>
      </c>
      <c r="F126" t="s">
        <v>130</v>
      </c>
      <c r="G126" t="s">
        <v>253</v>
      </c>
    </row>
    <row r="127" spans="1:7" x14ac:dyDescent="0.45">
      <c r="A127" t="s">
        <v>509</v>
      </c>
      <c r="B127" t="s">
        <v>441</v>
      </c>
      <c r="C127" t="s">
        <v>253</v>
      </c>
      <c r="D127">
        <v>0</v>
      </c>
      <c r="E127" t="s">
        <v>510</v>
      </c>
      <c r="F127" t="s">
        <v>131</v>
      </c>
      <c r="G127" t="s">
        <v>253</v>
      </c>
    </row>
    <row r="128" spans="1:7" x14ac:dyDescent="0.45">
      <c r="A128" t="s">
        <v>511</v>
      </c>
      <c r="B128" t="s">
        <v>441</v>
      </c>
      <c r="C128" t="s">
        <v>253</v>
      </c>
      <c r="D128">
        <v>0</v>
      </c>
      <c r="E128" t="s">
        <v>512</v>
      </c>
      <c r="F128" t="s">
        <v>132</v>
      </c>
      <c r="G128" t="s">
        <v>253</v>
      </c>
    </row>
    <row r="129" spans="1:7" x14ac:dyDescent="0.45">
      <c r="A129" t="s">
        <v>513</v>
      </c>
      <c r="B129" t="s">
        <v>441</v>
      </c>
      <c r="C129" t="s">
        <v>253</v>
      </c>
      <c r="D129">
        <v>0</v>
      </c>
      <c r="E129" t="s">
        <v>514</v>
      </c>
      <c r="F129" t="s">
        <v>133</v>
      </c>
      <c r="G129" t="s">
        <v>253</v>
      </c>
    </row>
    <row r="130" spans="1:7" x14ac:dyDescent="0.45">
      <c r="A130" t="s">
        <v>515</v>
      </c>
      <c r="B130" t="s">
        <v>441</v>
      </c>
      <c r="C130" t="s">
        <v>253</v>
      </c>
      <c r="D130">
        <v>0</v>
      </c>
      <c r="E130" t="s">
        <v>516</v>
      </c>
      <c r="F130" t="s">
        <v>134</v>
      </c>
      <c r="G130" t="s">
        <v>253</v>
      </c>
    </row>
    <row r="131" spans="1:7" x14ac:dyDescent="0.45">
      <c r="A131" t="s">
        <v>517</v>
      </c>
      <c r="B131" t="s">
        <v>441</v>
      </c>
      <c r="C131" t="s">
        <v>253</v>
      </c>
      <c r="D131">
        <v>0</v>
      </c>
      <c r="E131" t="s">
        <v>518</v>
      </c>
      <c r="F131" t="s">
        <v>166</v>
      </c>
      <c r="G131" t="s">
        <v>253</v>
      </c>
    </row>
    <row r="132" spans="1:7" x14ac:dyDescent="0.45">
      <c r="A132" t="s">
        <v>519</v>
      </c>
      <c r="B132" t="s">
        <v>441</v>
      </c>
      <c r="C132" t="s">
        <v>253</v>
      </c>
      <c r="D132">
        <v>0</v>
      </c>
      <c r="E132" t="s">
        <v>520</v>
      </c>
      <c r="F132" t="s">
        <v>167</v>
      </c>
      <c r="G132" t="s">
        <v>253</v>
      </c>
    </row>
    <row r="133" spans="1:7" x14ac:dyDescent="0.45">
      <c r="A133" t="s">
        <v>521</v>
      </c>
      <c r="B133" t="s">
        <v>441</v>
      </c>
      <c r="C133" t="s">
        <v>253</v>
      </c>
      <c r="D133">
        <v>0</v>
      </c>
      <c r="E133" t="s">
        <v>522</v>
      </c>
      <c r="F133" t="s">
        <v>168</v>
      </c>
      <c r="G133" t="s">
        <v>253</v>
      </c>
    </row>
    <row r="134" spans="1:7" x14ac:dyDescent="0.45">
      <c r="A134" t="s">
        <v>523</v>
      </c>
      <c r="B134" t="s">
        <v>441</v>
      </c>
      <c r="C134" t="s">
        <v>253</v>
      </c>
      <c r="D134">
        <v>0</v>
      </c>
      <c r="E134" t="s">
        <v>524</v>
      </c>
      <c r="F134" t="s">
        <v>169</v>
      </c>
      <c r="G134" t="s">
        <v>253</v>
      </c>
    </row>
    <row r="135" spans="1:7" x14ac:dyDescent="0.45">
      <c r="A135" t="s">
        <v>525</v>
      </c>
      <c r="B135" t="s">
        <v>441</v>
      </c>
      <c r="C135" t="s">
        <v>253</v>
      </c>
      <c r="D135">
        <v>0</v>
      </c>
      <c r="E135" t="s">
        <v>526</v>
      </c>
      <c r="F135" t="s">
        <v>170</v>
      </c>
      <c r="G135" t="s">
        <v>253</v>
      </c>
    </row>
    <row r="136" spans="1:7" x14ac:dyDescent="0.45">
      <c r="A136" t="s">
        <v>527</v>
      </c>
      <c r="B136" t="s">
        <v>441</v>
      </c>
      <c r="C136" t="s">
        <v>253</v>
      </c>
      <c r="D136">
        <v>0</v>
      </c>
      <c r="E136" t="s">
        <v>528</v>
      </c>
      <c r="F136" t="s">
        <v>171</v>
      </c>
      <c r="G136" t="s">
        <v>253</v>
      </c>
    </row>
    <row r="137" spans="1:7" x14ac:dyDescent="0.45">
      <c r="A137" t="s">
        <v>529</v>
      </c>
      <c r="B137" t="s">
        <v>441</v>
      </c>
      <c r="C137" t="s">
        <v>253</v>
      </c>
      <c r="D137">
        <v>0</v>
      </c>
      <c r="E137" t="s">
        <v>530</v>
      </c>
      <c r="F137" t="s">
        <v>172</v>
      </c>
      <c r="G137" t="s">
        <v>253</v>
      </c>
    </row>
    <row r="138" spans="1:7" x14ac:dyDescent="0.45">
      <c r="A138" t="s">
        <v>531</v>
      </c>
      <c r="B138" t="s">
        <v>441</v>
      </c>
      <c r="C138" t="s">
        <v>253</v>
      </c>
      <c r="D138">
        <v>0</v>
      </c>
      <c r="E138" t="s">
        <v>532</v>
      </c>
      <c r="F138" t="s">
        <v>173</v>
      </c>
      <c r="G138" t="s">
        <v>253</v>
      </c>
    </row>
    <row r="139" spans="1:7" x14ac:dyDescent="0.45">
      <c r="A139" t="s">
        <v>533</v>
      </c>
      <c r="B139" t="s">
        <v>441</v>
      </c>
      <c r="C139" t="s">
        <v>253</v>
      </c>
      <c r="D139">
        <v>0</v>
      </c>
      <c r="E139" t="s">
        <v>534</v>
      </c>
      <c r="F139" t="s">
        <v>174</v>
      </c>
      <c r="G139" t="s">
        <v>253</v>
      </c>
    </row>
    <row r="140" spans="1:7" x14ac:dyDescent="0.45">
      <c r="A140" t="s">
        <v>535</v>
      </c>
      <c r="B140" t="s">
        <v>441</v>
      </c>
      <c r="C140" t="s">
        <v>253</v>
      </c>
      <c r="D140">
        <v>0</v>
      </c>
      <c r="E140" t="s">
        <v>536</v>
      </c>
      <c r="F140" t="s">
        <v>175</v>
      </c>
      <c r="G140" t="s">
        <v>253</v>
      </c>
    </row>
    <row r="141" spans="1:7" x14ac:dyDescent="0.45">
      <c r="A141" t="s">
        <v>537</v>
      </c>
      <c r="B141" t="s">
        <v>441</v>
      </c>
      <c r="C141" t="s">
        <v>253</v>
      </c>
      <c r="D141">
        <v>0</v>
      </c>
      <c r="E141" t="s">
        <v>538</v>
      </c>
      <c r="F141" t="s">
        <v>176</v>
      </c>
      <c r="G141" t="s">
        <v>253</v>
      </c>
    </row>
    <row r="142" spans="1:7" x14ac:dyDescent="0.45">
      <c r="A142" t="s">
        <v>539</v>
      </c>
      <c r="B142" t="s">
        <v>441</v>
      </c>
      <c r="C142" t="s">
        <v>253</v>
      </c>
      <c r="D142">
        <v>0</v>
      </c>
      <c r="E142" t="s">
        <v>540</v>
      </c>
      <c r="F142" t="s">
        <v>177</v>
      </c>
      <c r="G142" t="s">
        <v>253</v>
      </c>
    </row>
    <row r="143" spans="1:7" x14ac:dyDescent="0.45">
      <c r="A143" t="s">
        <v>541</v>
      </c>
      <c r="B143" t="s">
        <v>441</v>
      </c>
      <c r="C143" t="s">
        <v>253</v>
      </c>
      <c r="D143">
        <v>0</v>
      </c>
      <c r="E143" t="s">
        <v>542</v>
      </c>
      <c r="F143" t="s">
        <v>178</v>
      </c>
      <c r="G143" t="s">
        <v>253</v>
      </c>
    </row>
    <row r="144" spans="1:7" x14ac:dyDescent="0.45">
      <c r="A144" t="s">
        <v>543</v>
      </c>
      <c r="B144" t="s">
        <v>441</v>
      </c>
      <c r="C144" t="s">
        <v>253</v>
      </c>
      <c r="D144">
        <v>0</v>
      </c>
      <c r="E144" t="s">
        <v>544</v>
      </c>
      <c r="F144" t="s">
        <v>179</v>
      </c>
      <c r="G144" t="s">
        <v>253</v>
      </c>
    </row>
    <row r="145" spans="1:7" x14ac:dyDescent="0.45">
      <c r="A145" t="s">
        <v>545</v>
      </c>
      <c r="B145" t="s">
        <v>441</v>
      </c>
      <c r="C145" t="s">
        <v>253</v>
      </c>
      <c r="D145">
        <v>0</v>
      </c>
      <c r="E145" t="s">
        <v>546</v>
      </c>
      <c r="F145" t="s">
        <v>180</v>
      </c>
      <c r="G145" t="s">
        <v>253</v>
      </c>
    </row>
    <row r="146" spans="1:7" x14ac:dyDescent="0.45">
      <c r="A146" t="s">
        <v>547</v>
      </c>
      <c r="B146" t="s">
        <v>441</v>
      </c>
      <c r="C146" t="s">
        <v>253</v>
      </c>
      <c r="D146">
        <v>0</v>
      </c>
      <c r="E146" t="s">
        <v>548</v>
      </c>
      <c r="F146" t="s">
        <v>181</v>
      </c>
      <c r="G146" t="s">
        <v>253</v>
      </c>
    </row>
    <row r="147" spans="1:7" x14ac:dyDescent="0.45">
      <c r="A147" t="s">
        <v>549</v>
      </c>
      <c r="B147" t="s">
        <v>441</v>
      </c>
      <c r="C147" t="s">
        <v>253</v>
      </c>
      <c r="D147">
        <v>0</v>
      </c>
      <c r="E147" t="s">
        <v>550</v>
      </c>
      <c r="F147" t="s">
        <v>182</v>
      </c>
      <c r="G147" t="s">
        <v>253</v>
      </c>
    </row>
    <row r="148" spans="1:7" x14ac:dyDescent="0.45">
      <c r="A148" t="s">
        <v>551</v>
      </c>
      <c r="B148" t="s">
        <v>441</v>
      </c>
      <c r="C148" t="s">
        <v>253</v>
      </c>
      <c r="D148">
        <v>0</v>
      </c>
      <c r="E148" t="s">
        <v>552</v>
      </c>
      <c r="F148" t="s">
        <v>183</v>
      </c>
      <c r="G148" t="s">
        <v>253</v>
      </c>
    </row>
    <row r="149" spans="1:7" x14ac:dyDescent="0.45">
      <c r="A149" t="s">
        <v>553</v>
      </c>
      <c r="B149" t="s">
        <v>441</v>
      </c>
      <c r="C149" t="s">
        <v>253</v>
      </c>
      <c r="D149">
        <v>0</v>
      </c>
      <c r="E149" t="s">
        <v>554</v>
      </c>
      <c r="F149" t="s">
        <v>184</v>
      </c>
      <c r="G149" t="s">
        <v>253</v>
      </c>
    </row>
    <row r="150" spans="1:7" x14ac:dyDescent="0.45">
      <c r="A150" t="s">
        <v>555</v>
      </c>
      <c r="B150" t="s">
        <v>556</v>
      </c>
      <c r="C150" t="s">
        <v>253</v>
      </c>
      <c r="D150">
        <v>0</v>
      </c>
      <c r="E150" t="s">
        <v>555</v>
      </c>
      <c r="F150" t="s">
        <v>85</v>
      </c>
      <c r="G150" t="s">
        <v>220</v>
      </c>
    </row>
    <row r="151" spans="1:7" x14ac:dyDescent="0.45">
      <c r="A151" t="s">
        <v>557</v>
      </c>
      <c r="B151" t="s">
        <v>556</v>
      </c>
      <c r="C151" t="s">
        <v>253</v>
      </c>
      <c r="D151">
        <v>0</v>
      </c>
      <c r="E151" t="s">
        <v>557</v>
      </c>
      <c r="F151" t="s">
        <v>85</v>
      </c>
      <c r="G151" t="s">
        <v>228</v>
      </c>
    </row>
    <row r="152" spans="1:7" x14ac:dyDescent="0.45">
      <c r="A152" t="s">
        <v>558</v>
      </c>
      <c r="B152" t="s">
        <v>556</v>
      </c>
      <c r="C152" t="s">
        <v>253</v>
      </c>
      <c r="D152">
        <v>0</v>
      </c>
      <c r="E152" t="s">
        <v>558</v>
      </c>
      <c r="F152" t="s">
        <v>85</v>
      </c>
      <c r="G152" t="s">
        <v>243</v>
      </c>
    </row>
    <row r="153" spans="1:7" x14ac:dyDescent="0.45">
      <c r="A153" t="s">
        <v>559</v>
      </c>
      <c r="B153" t="s">
        <v>556</v>
      </c>
      <c r="C153" t="s">
        <v>253</v>
      </c>
      <c r="D153">
        <v>0</v>
      </c>
      <c r="E153" t="s">
        <v>559</v>
      </c>
      <c r="F153" t="s">
        <v>85</v>
      </c>
      <c r="G153" t="s">
        <v>560</v>
      </c>
    </row>
    <row r="154" spans="1:7" x14ac:dyDescent="0.45">
      <c r="A154" t="s">
        <v>561</v>
      </c>
      <c r="B154" t="s">
        <v>556</v>
      </c>
      <c r="C154" t="s">
        <v>253</v>
      </c>
      <c r="D154">
        <v>0</v>
      </c>
      <c r="E154" t="s">
        <v>561</v>
      </c>
      <c r="F154" t="s">
        <v>85</v>
      </c>
      <c r="G154" t="s">
        <v>221</v>
      </c>
    </row>
    <row r="155" spans="1:7" x14ac:dyDescent="0.45">
      <c r="A155" t="s">
        <v>562</v>
      </c>
      <c r="B155" t="s">
        <v>556</v>
      </c>
      <c r="C155" t="s">
        <v>253</v>
      </c>
      <c r="D155">
        <v>0</v>
      </c>
      <c r="E155" t="s">
        <v>562</v>
      </c>
      <c r="F155" t="s">
        <v>85</v>
      </c>
      <c r="G155" t="s">
        <v>563</v>
      </c>
    </row>
    <row r="156" spans="1:7" x14ac:dyDescent="0.45">
      <c r="A156" t="s">
        <v>564</v>
      </c>
      <c r="B156" t="s">
        <v>556</v>
      </c>
      <c r="C156" t="s">
        <v>253</v>
      </c>
      <c r="D156">
        <v>0</v>
      </c>
      <c r="E156" t="s">
        <v>564</v>
      </c>
      <c r="F156" t="s">
        <v>85</v>
      </c>
      <c r="G156" t="s">
        <v>565</v>
      </c>
    </row>
    <row r="157" spans="1:7" x14ac:dyDescent="0.45">
      <c r="A157" t="s">
        <v>566</v>
      </c>
      <c r="B157" t="s">
        <v>556</v>
      </c>
      <c r="C157" t="s">
        <v>253</v>
      </c>
      <c r="D157">
        <v>0</v>
      </c>
      <c r="E157" t="s">
        <v>566</v>
      </c>
      <c r="F157" t="s">
        <v>135</v>
      </c>
      <c r="G157" t="s">
        <v>220</v>
      </c>
    </row>
    <row r="158" spans="1:7" x14ac:dyDescent="0.45">
      <c r="A158" t="s">
        <v>567</v>
      </c>
      <c r="B158" t="s">
        <v>556</v>
      </c>
      <c r="C158" t="s">
        <v>253</v>
      </c>
      <c r="D158">
        <v>0</v>
      </c>
      <c r="E158" t="s">
        <v>567</v>
      </c>
      <c r="F158" t="s">
        <v>135</v>
      </c>
      <c r="G158" t="s">
        <v>228</v>
      </c>
    </row>
    <row r="159" spans="1:7" x14ac:dyDescent="0.45">
      <c r="A159" t="s">
        <v>568</v>
      </c>
      <c r="B159" t="s">
        <v>556</v>
      </c>
      <c r="C159" t="s">
        <v>253</v>
      </c>
      <c r="D159">
        <v>0</v>
      </c>
      <c r="E159" t="s">
        <v>568</v>
      </c>
      <c r="F159" t="s">
        <v>135</v>
      </c>
      <c r="G159" t="s">
        <v>243</v>
      </c>
    </row>
    <row r="160" spans="1:7" x14ac:dyDescent="0.45">
      <c r="A160" t="s">
        <v>569</v>
      </c>
      <c r="B160" t="s">
        <v>556</v>
      </c>
      <c r="C160" t="s">
        <v>253</v>
      </c>
      <c r="D160">
        <v>0</v>
      </c>
      <c r="E160" t="s">
        <v>569</v>
      </c>
      <c r="F160" t="s">
        <v>135</v>
      </c>
      <c r="G160" t="s">
        <v>560</v>
      </c>
    </row>
    <row r="161" spans="1:7" x14ac:dyDescent="0.45">
      <c r="A161" t="s">
        <v>570</v>
      </c>
      <c r="B161" t="s">
        <v>556</v>
      </c>
      <c r="C161" t="s">
        <v>253</v>
      </c>
      <c r="D161">
        <v>0</v>
      </c>
      <c r="E161" t="s">
        <v>570</v>
      </c>
      <c r="F161" t="s">
        <v>135</v>
      </c>
      <c r="G161" t="s">
        <v>221</v>
      </c>
    </row>
    <row r="162" spans="1:7" x14ac:dyDescent="0.45">
      <c r="A162" t="s">
        <v>571</v>
      </c>
      <c r="B162" t="s">
        <v>556</v>
      </c>
      <c r="C162" t="s">
        <v>253</v>
      </c>
      <c r="D162">
        <v>0</v>
      </c>
      <c r="E162" t="s">
        <v>571</v>
      </c>
      <c r="F162" t="s">
        <v>135</v>
      </c>
      <c r="G162" t="s">
        <v>563</v>
      </c>
    </row>
    <row r="163" spans="1:7" x14ac:dyDescent="0.45">
      <c r="A163" t="s">
        <v>572</v>
      </c>
      <c r="B163" t="s">
        <v>556</v>
      </c>
      <c r="C163" t="s">
        <v>253</v>
      </c>
      <c r="D163">
        <v>0</v>
      </c>
      <c r="E163" t="s">
        <v>572</v>
      </c>
      <c r="F163" t="s">
        <v>135</v>
      </c>
      <c r="G163" t="s">
        <v>565</v>
      </c>
    </row>
    <row r="164" spans="1:7" x14ac:dyDescent="0.45">
      <c r="A164" t="s">
        <v>573</v>
      </c>
      <c r="B164" t="s">
        <v>556</v>
      </c>
      <c r="C164" t="s">
        <v>253</v>
      </c>
      <c r="D164">
        <v>0</v>
      </c>
      <c r="E164" t="s">
        <v>573</v>
      </c>
      <c r="F164" t="s">
        <v>185</v>
      </c>
      <c r="G164" t="s">
        <v>220</v>
      </c>
    </row>
    <row r="165" spans="1:7" x14ac:dyDescent="0.45">
      <c r="A165" t="s">
        <v>574</v>
      </c>
      <c r="B165" t="s">
        <v>556</v>
      </c>
      <c r="C165" t="s">
        <v>253</v>
      </c>
      <c r="D165">
        <v>0</v>
      </c>
      <c r="E165" t="s">
        <v>574</v>
      </c>
      <c r="F165" t="s">
        <v>185</v>
      </c>
      <c r="G165" t="s">
        <v>228</v>
      </c>
    </row>
    <row r="166" spans="1:7" x14ac:dyDescent="0.45">
      <c r="A166" t="s">
        <v>575</v>
      </c>
      <c r="B166" t="s">
        <v>556</v>
      </c>
      <c r="C166" t="s">
        <v>253</v>
      </c>
      <c r="D166">
        <v>0</v>
      </c>
      <c r="E166" t="s">
        <v>575</v>
      </c>
      <c r="F166" t="s">
        <v>185</v>
      </c>
      <c r="G166" t="s">
        <v>243</v>
      </c>
    </row>
    <row r="167" spans="1:7" x14ac:dyDescent="0.45">
      <c r="A167" t="s">
        <v>576</v>
      </c>
      <c r="B167" t="s">
        <v>556</v>
      </c>
      <c r="C167" t="s">
        <v>253</v>
      </c>
      <c r="D167">
        <v>0</v>
      </c>
      <c r="E167" t="s">
        <v>576</v>
      </c>
      <c r="F167" t="s">
        <v>185</v>
      </c>
      <c r="G167" t="s">
        <v>560</v>
      </c>
    </row>
    <row r="168" spans="1:7" x14ac:dyDescent="0.45">
      <c r="A168" t="s">
        <v>577</v>
      </c>
      <c r="B168" t="s">
        <v>556</v>
      </c>
      <c r="C168" t="s">
        <v>253</v>
      </c>
      <c r="D168">
        <v>0</v>
      </c>
      <c r="E168" t="s">
        <v>577</v>
      </c>
      <c r="F168" t="s">
        <v>185</v>
      </c>
      <c r="G168" t="s">
        <v>221</v>
      </c>
    </row>
    <row r="169" spans="1:7" x14ac:dyDescent="0.45">
      <c r="A169" t="s">
        <v>578</v>
      </c>
      <c r="B169" t="s">
        <v>556</v>
      </c>
      <c r="C169" t="s">
        <v>253</v>
      </c>
      <c r="D169">
        <v>0</v>
      </c>
      <c r="E169" t="s">
        <v>578</v>
      </c>
      <c r="F169" t="s">
        <v>185</v>
      </c>
      <c r="G169" t="s">
        <v>563</v>
      </c>
    </row>
    <row r="170" spans="1:7" x14ac:dyDescent="0.45">
      <c r="A170" t="s">
        <v>579</v>
      </c>
      <c r="B170" t="s">
        <v>556</v>
      </c>
      <c r="C170" t="s">
        <v>253</v>
      </c>
      <c r="D170">
        <v>0</v>
      </c>
      <c r="E170" t="s">
        <v>579</v>
      </c>
      <c r="F170" t="s">
        <v>185</v>
      </c>
      <c r="G170" t="s">
        <v>565</v>
      </c>
    </row>
    <row r="171" spans="1:7" x14ac:dyDescent="0.45">
      <c r="A171" t="s">
        <v>580</v>
      </c>
      <c r="B171" t="s">
        <v>581</v>
      </c>
      <c r="C171" t="s">
        <v>253</v>
      </c>
      <c r="D171">
        <v>0</v>
      </c>
      <c r="E171" t="s">
        <v>580</v>
      </c>
      <c r="F171" t="s">
        <v>186</v>
      </c>
      <c r="G171" t="s">
        <v>220</v>
      </c>
    </row>
    <row r="172" spans="1:7" x14ac:dyDescent="0.45">
      <c r="A172" t="s">
        <v>582</v>
      </c>
      <c r="B172" t="s">
        <v>581</v>
      </c>
      <c r="C172" t="s">
        <v>253</v>
      </c>
      <c r="D172">
        <v>0</v>
      </c>
      <c r="E172" t="s">
        <v>582</v>
      </c>
      <c r="F172" t="s">
        <v>186</v>
      </c>
      <c r="G172" t="s">
        <v>228</v>
      </c>
    </row>
    <row r="173" spans="1:7" x14ac:dyDescent="0.45">
      <c r="A173" t="s">
        <v>583</v>
      </c>
      <c r="B173" t="s">
        <v>581</v>
      </c>
      <c r="C173" t="s">
        <v>253</v>
      </c>
      <c r="D173">
        <v>0</v>
      </c>
      <c r="E173" t="s">
        <v>583</v>
      </c>
      <c r="F173" t="s">
        <v>186</v>
      </c>
      <c r="G173" t="s">
        <v>243</v>
      </c>
    </row>
    <row r="174" spans="1:7" x14ac:dyDescent="0.45">
      <c r="A174" t="s">
        <v>584</v>
      </c>
      <c r="B174" t="s">
        <v>581</v>
      </c>
      <c r="C174" t="s">
        <v>253</v>
      </c>
      <c r="D174">
        <v>0</v>
      </c>
      <c r="E174" t="s">
        <v>584</v>
      </c>
      <c r="F174" t="s">
        <v>186</v>
      </c>
      <c r="G174" t="s">
        <v>560</v>
      </c>
    </row>
    <row r="175" spans="1:7" x14ac:dyDescent="0.45">
      <c r="A175" t="s">
        <v>585</v>
      </c>
      <c r="B175" t="s">
        <v>581</v>
      </c>
      <c r="C175" t="s">
        <v>253</v>
      </c>
      <c r="D175">
        <v>0</v>
      </c>
      <c r="E175" t="s">
        <v>585</v>
      </c>
      <c r="F175" t="s">
        <v>186</v>
      </c>
      <c r="G175" t="s">
        <v>221</v>
      </c>
    </row>
    <row r="176" spans="1:7" x14ac:dyDescent="0.45">
      <c r="A176" t="s">
        <v>586</v>
      </c>
      <c r="B176" t="s">
        <v>581</v>
      </c>
      <c r="C176" t="s">
        <v>253</v>
      </c>
      <c r="D176">
        <v>0</v>
      </c>
      <c r="E176" t="s">
        <v>586</v>
      </c>
      <c r="F176" t="s">
        <v>186</v>
      </c>
      <c r="G176" t="s">
        <v>563</v>
      </c>
    </row>
    <row r="177" spans="1:7" x14ac:dyDescent="0.45">
      <c r="A177" t="s">
        <v>587</v>
      </c>
      <c r="B177" t="s">
        <v>581</v>
      </c>
      <c r="C177" t="s">
        <v>253</v>
      </c>
      <c r="D177">
        <v>0</v>
      </c>
      <c r="E177" t="s">
        <v>587</v>
      </c>
      <c r="F177" t="s">
        <v>186</v>
      </c>
      <c r="G177" t="s">
        <v>565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14"/>
  <sheetViews>
    <sheetView workbookViewId="0"/>
  </sheetViews>
  <sheetFormatPr defaultRowHeight="14.25" x14ac:dyDescent="0.45"/>
  <sheetData>
    <row r="1" spans="1:177" x14ac:dyDescent="0.45">
      <c r="A1" t="s">
        <v>588</v>
      </c>
      <c r="B1" t="s">
        <v>251</v>
      </c>
      <c r="C1" t="s">
        <v>255</v>
      </c>
      <c r="D1" t="s">
        <v>257</v>
      </c>
      <c r="E1" t="s">
        <v>259</v>
      </c>
      <c r="F1" t="s">
        <v>261</v>
      </c>
      <c r="G1" t="s">
        <v>263</v>
      </c>
      <c r="H1" t="s">
        <v>267</v>
      </c>
      <c r="I1" t="s">
        <v>269</v>
      </c>
      <c r="J1" t="s">
        <v>271</v>
      </c>
      <c r="K1" t="s">
        <v>273</v>
      </c>
      <c r="L1" t="s">
        <v>275</v>
      </c>
      <c r="M1" t="s">
        <v>277</v>
      </c>
      <c r="N1" t="s">
        <v>279</v>
      </c>
      <c r="O1" t="s">
        <v>281</v>
      </c>
      <c r="P1" t="s">
        <v>283</v>
      </c>
      <c r="Q1" t="s">
        <v>285</v>
      </c>
      <c r="R1" t="s">
        <v>287</v>
      </c>
      <c r="S1" t="s">
        <v>289</v>
      </c>
      <c r="T1" t="s">
        <v>291</v>
      </c>
      <c r="U1" t="s">
        <v>293</v>
      </c>
      <c r="V1" t="s">
        <v>295</v>
      </c>
      <c r="W1" t="s">
        <v>297</v>
      </c>
      <c r="X1" t="s">
        <v>299</v>
      </c>
      <c r="Y1" t="s">
        <v>301</v>
      </c>
      <c r="Z1" t="s">
        <v>303</v>
      </c>
      <c r="AA1" t="s">
        <v>305</v>
      </c>
      <c r="AB1" t="s">
        <v>307</v>
      </c>
      <c r="AC1" t="s">
        <v>309</v>
      </c>
      <c r="AD1" t="s">
        <v>311</v>
      </c>
      <c r="AE1" t="s">
        <v>313</v>
      </c>
      <c r="AF1" t="s">
        <v>315</v>
      </c>
      <c r="AG1" t="s">
        <v>317</v>
      </c>
      <c r="AH1" t="s">
        <v>320</v>
      </c>
      <c r="AI1" t="s">
        <v>322</v>
      </c>
      <c r="AJ1" t="s">
        <v>324</v>
      </c>
      <c r="AK1" t="s">
        <v>326</v>
      </c>
      <c r="AL1" t="s">
        <v>328</v>
      </c>
      <c r="AM1" t="s">
        <v>330</v>
      </c>
      <c r="AN1" t="s">
        <v>332</v>
      </c>
      <c r="AO1" t="s">
        <v>335</v>
      </c>
      <c r="AP1" t="s">
        <v>337</v>
      </c>
      <c r="AQ1" t="s">
        <v>339</v>
      </c>
      <c r="AR1" t="s">
        <v>341</v>
      </c>
      <c r="AS1" t="s">
        <v>343</v>
      </c>
      <c r="AT1" t="s">
        <v>345</v>
      </c>
      <c r="AU1" t="s">
        <v>347</v>
      </c>
      <c r="AV1" t="s">
        <v>349</v>
      </c>
      <c r="AW1" t="s">
        <v>351</v>
      </c>
      <c r="AX1" t="s">
        <v>353</v>
      </c>
      <c r="AY1" t="s">
        <v>355</v>
      </c>
      <c r="AZ1" t="s">
        <v>357</v>
      </c>
      <c r="BA1" t="s">
        <v>359</v>
      </c>
      <c r="BB1" t="s">
        <v>361</v>
      </c>
      <c r="BC1" t="s">
        <v>363</v>
      </c>
      <c r="BD1" t="s">
        <v>365</v>
      </c>
      <c r="BE1" t="s">
        <v>367</v>
      </c>
      <c r="BF1" t="s">
        <v>369</v>
      </c>
      <c r="BG1" t="s">
        <v>371</v>
      </c>
      <c r="BH1" t="s">
        <v>373</v>
      </c>
      <c r="BI1" t="s">
        <v>375</v>
      </c>
      <c r="BJ1" t="s">
        <v>377</v>
      </c>
      <c r="BK1" t="s">
        <v>379</v>
      </c>
      <c r="BL1" t="s">
        <v>382</v>
      </c>
      <c r="BM1" t="s">
        <v>384</v>
      </c>
      <c r="BN1" t="s">
        <v>386</v>
      </c>
      <c r="BO1" t="s">
        <v>388</v>
      </c>
      <c r="BP1" t="s">
        <v>390</v>
      </c>
      <c r="BQ1" t="s">
        <v>392</v>
      </c>
      <c r="BR1" t="s">
        <v>394</v>
      </c>
      <c r="BS1" t="s">
        <v>396</v>
      </c>
      <c r="BT1" t="s">
        <v>398</v>
      </c>
      <c r="BU1" t="s">
        <v>400</v>
      </c>
      <c r="BV1" t="s">
        <v>402</v>
      </c>
      <c r="BW1" t="s">
        <v>404</v>
      </c>
      <c r="BX1" t="s">
        <v>406</v>
      </c>
      <c r="BY1" t="s">
        <v>408</v>
      </c>
      <c r="BZ1" t="s">
        <v>410</v>
      </c>
      <c r="CA1" t="s">
        <v>412</v>
      </c>
      <c r="CB1" t="s">
        <v>414</v>
      </c>
      <c r="CC1" t="s">
        <v>416</v>
      </c>
      <c r="CD1" t="s">
        <v>418</v>
      </c>
      <c r="CE1" t="s">
        <v>420</v>
      </c>
      <c r="CF1" t="s">
        <v>422</v>
      </c>
      <c r="CG1" t="s">
        <v>424</v>
      </c>
      <c r="CH1" t="s">
        <v>426</v>
      </c>
      <c r="CI1" t="s">
        <v>428</v>
      </c>
      <c r="CJ1" t="s">
        <v>430</v>
      </c>
      <c r="CK1" t="s">
        <v>432</v>
      </c>
      <c r="CL1" t="s">
        <v>434</v>
      </c>
      <c r="CM1" t="s">
        <v>436</v>
      </c>
      <c r="CN1" t="s">
        <v>438</v>
      </c>
      <c r="CO1" t="s">
        <v>440</v>
      </c>
      <c r="CP1" t="s">
        <v>443</v>
      </c>
      <c r="CQ1" t="s">
        <v>445</v>
      </c>
      <c r="CR1" t="s">
        <v>447</v>
      </c>
      <c r="CS1" t="s">
        <v>449</v>
      </c>
      <c r="CT1" t="s">
        <v>451</v>
      </c>
      <c r="CU1" t="s">
        <v>453</v>
      </c>
      <c r="CV1" t="s">
        <v>455</v>
      </c>
      <c r="CW1" t="s">
        <v>457</v>
      </c>
      <c r="CX1" t="s">
        <v>459</v>
      </c>
      <c r="CY1" t="s">
        <v>461</v>
      </c>
      <c r="CZ1" t="s">
        <v>463</v>
      </c>
      <c r="DA1" t="s">
        <v>465</v>
      </c>
      <c r="DB1" t="s">
        <v>467</v>
      </c>
      <c r="DC1" t="s">
        <v>469</v>
      </c>
      <c r="DD1" t="s">
        <v>471</v>
      </c>
      <c r="DE1" t="s">
        <v>473</v>
      </c>
      <c r="DF1" t="s">
        <v>475</v>
      </c>
      <c r="DG1" t="s">
        <v>477</v>
      </c>
      <c r="DH1" t="s">
        <v>479</v>
      </c>
      <c r="DI1" t="s">
        <v>481</v>
      </c>
      <c r="DJ1" t="s">
        <v>483</v>
      </c>
      <c r="DK1" t="s">
        <v>485</v>
      </c>
      <c r="DL1" t="s">
        <v>487</v>
      </c>
      <c r="DM1" t="s">
        <v>489</v>
      </c>
      <c r="DN1" t="s">
        <v>491</v>
      </c>
      <c r="DO1" t="s">
        <v>493</v>
      </c>
      <c r="DP1" t="s">
        <v>495</v>
      </c>
      <c r="DQ1" t="s">
        <v>497</v>
      </c>
      <c r="DR1" t="s">
        <v>499</v>
      </c>
      <c r="DS1" t="s">
        <v>501</v>
      </c>
      <c r="DT1" t="s">
        <v>503</v>
      </c>
      <c r="DU1" t="s">
        <v>505</v>
      </c>
      <c r="DV1" t="s">
        <v>507</v>
      </c>
      <c r="DW1" t="s">
        <v>509</v>
      </c>
      <c r="DX1" t="s">
        <v>511</v>
      </c>
      <c r="DY1" t="s">
        <v>513</v>
      </c>
      <c r="DZ1" t="s">
        <v>515</v>
      </c>
      <c r="EA1" t="s">
        <v>517</v>
      </c>
      <c r="EB1" t="s">
        <v>519</v>
      </c>
      <c r="EC1" t="s">
        <v>521</v>
      </c>
      <c r="ED1" t="s">
        <v>523</v>
      </c>
      <c r="EE1" t="s">
        <v>525</v>
      </c>
      <c r="EF1" t="s">
        <v>527</v>
      </c>
      <c r="EG1" t="s">
        <v>529</v>
      </c>
      <c r="EH1" t="s">
        <v>531</v>
      </c>
      <c r="EI1" t="s">
        <v>533</v>
      </c>
      <c r="EJ1" t="s">
        <v>535</v>
      </c>
      <c r="EK1" t="s">
        <v>537</v>
      </c>
      <c r="EL1" t="s">
        <v>539</v>
      </c>
      <c r="EM1" t="s">
        <v>541</v>
      </c>
      <c r="EN1" t="s">
        <v>543</v>
      </c>
      <c r="EO1" t="s">
        <v>545</v>
      </c>
      <c r="EP1" t="s">
        <v>547</v>
      </c>
      <c r="EQ1" t="s">
        <v>549</v>
      </c>
      <c r="ER1" t="s">
        <v>551</v>
      </c>
      <c r="ES1" t="s">
        <v>553</v>
      </c>
      <c r="ET1" t="s">
        <v>555</v>
      </c>
      <c r="EU1" t="s">
        <v>557</v>
      </c>
      <c r="EV1" t="s">
        <v>558</v>
      </c>
      <c r="EW1" t="s">
        <v>559</v>
      </c>
      <c r="EX1" t="s">
        <v>561</v>
      </c>
      <c r="EY1" t="s">
        <v>562</v>
      </c>
      <c r="EZ1" t="s">
        <v>564</v>
      </c>
      <c r="FA1" t="s">
        <v>566</v>
      </c>
      <c r="FB1" t="s">
        <v>567</v>
      </c>
      <c r="FC1" t="s">
        <v>568</v>
      </c>
      <c r="FD1" t="s">
        <v>569</v>
      </c>
      <c r="FE1" t="s">
        <v>570</v>
      </c>
      <c r="FF1" t="s">
        <v>571</v>
      </c>
      <c r="FG1" t="s">
        <v>572</v>
      </c>
      <c r="FH1" t="s">
        <v>573</v>
      </c>
      <c r="FI1" t="s">
        <v>574</v>
      </c>
      <c r="FJ1" t="s">
        <v>575</v>
      </c>
      <c r="FK1" t="s">
        <v>576</v>
      </c>
      <c r="FL1" t="s">
        <v>577</v>
      </c>
      <c r="FM1" t="s">
        <v>578</v>
      </c>
      <c r="FN1" t="s">
        <v>579</v>
      </c>
      <c r="FO1" t="s">
        <v>580</v>
      </c>
      <c r="FP1" t="s">
        <v>582</v>
      </c>
      <c r="FQ1" t="s">
        <v>583</v>
      </c>
      <c r="FR1" t="s">
        <v>584</v>
      </c>
      <c r="FS1" t="s">
        <v>585</v>
      </c>
      <c r="FT1" t="s">
        <v>586</v>
      </c>
      <c r="FU1" t="s">
        <v>587</v>
      </c>
    </row>
    <row r="2" spans="1:177" x14ac:dyDescent="0.45">
      <c r="A2" t="s">
        <v>589</v>
      </c>
      <c r="B2" t="s">
        <v>252</v>
      </c>
      <c r="C2" t="s">
        <v>252</v>
      </c>
      <c r="D2" t="s">
        <v>252</v>
      </c>
      <c r="E2" t="s">
        <v>252</v>
      </c>
      <c r="F2" t="s">
        <v>252</v>
      </c>
      <c r="G2" t="s">
        <v>264</v>
      </c>
      <c r="H2" t="s">
        <v>264</v>
      </c>
      <c r="I2" t="s">
        <v>264</v>
      </c>
      <c r="J2" t="s">
        <v>264</v>
      </c>
      <c r="K2" t="s">
        <v>264</v>
      </c>
      <c r="L2" t="s">
        <v>264</v>
      </c>
      <c r="M2" t="s">
        <v>264</v>
      </c>
      <c r="N2" t="s">
        <v>264</v>
      </c>
      <c r="O2" t="s">
        <v>264</v>
      </c>
      <c r="P2" t="s">
        <v>264</v>
      </c>
      <c r="Q2" t="s">
        <v>264</v>
      </c>
      <c r="R2" t="s">
        <v>264</v>
      </c>
      <c r="S2" t="s">
        <v>264</v>
      </c>
      <c r="T2" t="s">
        <v>264</v>
      </c>
      <c r="U2" t="s">
        <v>264</v>
      </c>
      <c r="V2" t="s">
        <v>264</v>
      </c>
      <c r="W2" t="s">
        <v>264</v>
      </c>
      <c r="X2" t="s">
        <v>264</v>
      </c>
      <c r="Y2" t="s">
        <v>264</v>
      </c>
      <c r="Z2" t="s">
        <v>264</v>
      </c>
      <c r="AA2" t="s">
        <v>264</v>
      </c>
      <c r="AB2" t="s">
        <v>264</v>
      </c>
      <c r="AC2" t="s">
        <v>264</v>
      </c>
      <c r="AD2" t="s">
        <v>264</v>
      </c>
      <c r="AE2" t="s">
        <v>264</v>
      </c>
      <c r="AF2" t="s">
        <v>264</v>
      </c>
      <c r="AG2" t="s">
        <v>264</v>
      </c>
      <c r="AH2" t="s">
        <v>264</v>
      </c>
      <c r="AI2" t="s">
        <v>264</v>
      </c>
      <c r="AJ2" t="s">
        <v>264</v>
      </c>
      <c r="AK2" t="s">
        <v>264</v>
      </c>
      <c r="AL2" t="s">
        <v>264</v>
      </c>
      <c r="AM2" t="s">
        <v>264</v>
      </c>
      <c r="AN2" t="s">
        <v>333</v>
      </c>
      <c r="AO2" t="s">
        <v>264</v>
      </c>
      <c r="AP2" t="s">
        <v>264</v>
      </c>
      <c r="AQ2" t="s">
        <v>264</v>
      </c>
      <c r="AR2" t="s">
        <v>264</v>
      </c>
      <c r="AS2" t="s">
        <v>264</v>
      </c>
      <c r="AT2" t="s">
        <v>264</v>
      </c>
      <c r="AU2" t="s">
        <v>333</v>
      </c>
      <c r="AV2" t="s">
        <v>264</v>
      </c>
      <c r="AW2" t="s">
        <v>264</v>
      </c>
      <c r="AX2" t="s">
        <v>264</v>
      </c>
      <c r="AY2" t="s">
        <v>264</v>
      </c>
      <c r="AZ2" t="s">
        <v>264</v>
      </c>
      <c r="BA2" t="s">
        <v>264</v>
      </c>
      <c r="BB2" t="s">
        <v>264</v>
      </c>
      <c r="BC2" t="s">
        <v>333</v>
      </c>
      <c r="BD2" t="s">
        <v>264</v>
      </c>
      <c r="BE2" t="s">
        <v>264</v>
      </c>
      <c r="BF2" t="s">
        <v>264</v>
      </c>
      <c r="BG2" t="s">
        <v>333</v>
      </c>
      <c r="BH2" t="s">
        <v>264</v>
      </c>
      <c r="BI2" t="s">
        <v>264</v>
      </c>
      <c r="BJ2" t="s">
        <v>333</v>
      </c>
      <c r="BK2" t="s">
        <v>264</v>
      </c>
      <c r="BL2" t="s">
        <v>264</v>
      </c>
      <c r="BM2" t="s">
        <v>264</v>
      </c>
      <c r="BN2" t="s">
        <v>264</v>
      </c>
      <c r="BO2" t="s">
        <v>264</v>
      </c>
      <c r="BP2" t="s">
        <v>264</v>
      </c>
      <c r="BQ2" t="s">
        <v>264</v>
      </c>
      <c r="BR2" t="s">
        <v>333</v>
      </c>
      <c r="BS2" t="s">
        <v>264</v>
      </c>
      <c r="BT2" t="s">
        <v>264</v>
      </c>
      <c r="BU2" t="s">
        <v>264</v>
      </c>
      <c r="BV2" t="s">
        <v>264</v>
      </c>
      <c r="BW2" t="s">
        <v>264</v>
      </c>
      <c r="BX2" t="s">
        <v>264</v>
      </c>
      <c r="BY2" t="s">
        <v>333</v>
      </c>
      <c r="BZ2" t="s">
        <v>264</v>
      </c>
      <c r="CA2" t="s">
        <v>264</v>
      </c>
      <c r="CB2" t="s">
        <v>264</v>
      </c>
      <c r="CC2" t="s">
        <v>264</v>
      </c>
      <c r="CD2" t="s">
        <v>264</v>
      </c>
      <c r="CE2" t="s">
        <v>264</v>
      </c>
      <c r="CF2" t="s">
        <v>264</v>
      </c>
      <c r="CG2" t="s">
        <v>333</v>
      </c>
      <c r="CH2" t="s">
        <v>264</v>
      </c>
      <c r="CI2" t="s">
        <v>264</v>
      </c>
      <c r="CJ2" t="s">
        <v>264</v>
      </c>
      <c r="CK2" t="s">
        <v>333</v>
      </c>
      <c r="CL2" t="s">
        <v>264</v>
      </c>
      <c r="CM2" t="s">
        <v>264</v>
      </c>
      <c r="CN2" t="s">
        <v>333</v>
      </c>
      <c r="CO2" t="s">
        <v>441</v>
      </c>
      <c r="CP2" t="s">
        <v>441</v>
      </c>
      <c r="CQ2" t="s">
        <v>441</v>
      </c>
      <c r="CR2" t="s">
        <v>441</v>
      </c>
      <c r="CS2" t="s">
        <v>441</v>
      </c>
      <c r="CT2" t="s">
        <v>441</v>
      </c>
      <c r="CU2" t="s">
        <v>441</v>
      </c>
      <c r="CV2" t="s">
        <v>441</v>
      </c>
      <c r="CW2" t="s">
        <v>441</v>
      </c>
      <c r="CX2" t="s">
        <v>441</v>
      </c>
      <c r="CY2" t="s">
        <v>441</v>
      </c>
      <c r="CZ2" t="s">
        <v>441</v>
      </c>
      <c r="DA2" t="s">
        <v>441</v>
      </c>
      <c r="DB2" t="s">
        <v>441</v>
      </c>
      <c r="DC2" t="s">
        <v>441</v>
      </c>
      <c r="DD2" t="s">
        <v>441</v>
      </c>
      <c r="DE2" t="s">
        <v>441</v>
      </c>
      <c r="DF2" t="s">
        <v>441</v>
      </c>
      <c r="DG2" t="s">
        <v>441</v>
      </c>
      <c r="DH2" t="s">
        <v>441</v>
      </c>
      <c r="DI2" t="s">
        <v>441</v>
      </c>
      <c r="DJ2" t="s">
        <v>441</v>
      </c>
      <c r="DK2" t="s">
        <v>441</v>
      </c>
      <c r="DL2" t="s">
        <v>441</v>
      </c>
      <c r="DM2" t="s">
        <v>441</v>
      </c>
      <c r="DN2" t="s">
        <v>441</v>
      </c>
      <c r="DO2" t="s">
        <v>441</v>
      </c>
      <c r="DP2" t="s">
        <v>441</v>
      </c>
      <c r="DQ2" t="s">
        <v>441</v>
      </c>
      <c r="DR2" t="s">
        <v>441</v>
      </c>
      <c r="DS2" t="s">
        <v>441</v>
      </c>
      <c r="DT2" t="s">
        <v>441</v>
      </c>
      <c r="DU2" t="s">
        <v>441</v>
      </c>
      <c r="DV2" t="s">
        <v>441</v>
      </c>
      <c r="DW2" t="s">
        <v>441</v>
      </c>
      <c r="DX2" t="s">
        <v>441</v>
      </c>
      <c r="DY2" t="s">
        <v>441</v>
      </c>
      <c r="DZ2" t="s">
        <v>441</v>
      </c>
      <c r="EA2" t="s">
        <v>441</v>
      </c>
      <c r="EB2" t="s">
        <v>441</v>
      </c>
      <c r="EC2" t="s">
        <v>441</v>
      </c>
      <c r="ED2" t="s">
        <v>441</v>
      </c>
      <c r="EE2" t="s">
        <v>441</v>
      </c>
      <c r="EF2" t="s">
        <v>441</v>
      </c>
      <c r="EG2" t="s">
        <v>441</v>
      </c>
      <c r="EH2" t="s">
        <v>441</v>
      </c>
      <c r="EI2" t="s">
        <v>441</v>
      </c>
      <c r="EJ2" t="s">
        <v>441</v>
      </c>
      <c r="EK2" t="s">
        <v>441</v>
      </c>
      <c r="EL2" t="s">
        <v>441</v>
      </c>
      <c r="EM2" t="s">
        <v>441</v>
      </c>
      <c r="EN2" t="s">
        <v>441</v>
      </c>
      <c r="EO2" t="s">
        <v>441</v>
      </c>
      <c r="EP2" t="s">
        <v>441</v>
      </c>
      <c r="EQ2" t="s">
        <v>441</v>
      </c>
      <c r="ER2" t="s">
        <v>441</v>
      </c>
      <c r="ES2" t="s">
        <v>441</v>
      </c>
      <c r="ET2" t="s">
        <v>556</v>
      </c>
      <c r="EU2" t="s">
        <v>556</v>
      </c>
      <c r="EV2" t="s">
        <v>556</v>
      </c>
      <c r="EW2" t="s">
        <v>556</v>
      </c>
      <c r="EX2" t="s">
        <v>556</v>
      </c>
      <c r="EY2" t="s">
        <v>556</v>
      </c>
      <c r="EZ2" t="s">
        <v>556</v>
      </c>
      <c r="FA2" t="s">
        <v>556</v>
      </c>
      <c r="FB2" t="s">
        <v>556</v>
      </c>
      <c r="FC2" t="s">
        <v>556</v>
      </c>
      <c r="FD2" t="s">
        <v>556</v>
      </c>
      <c r="FE2" t="s">
        <v>556</v>
      </c>
      <c r="FF2" t="s">
        <v>556</v>
      </c>
      <c r="FG2" t="s">
        <v>556</v>
      </c>
      <c r="FH2" t="s">
        <v>556</v>
      </c>
      <c r="FI2" t="s">
        <v>556</v>
      </c>
      <c r="FJ2" t="s">
        <v>556</v>
      </c>
      <c r="FK2" t="s">
        <v>556</v>
      </c>
      <c r="FL2" t="s">
        <v>556</v>
      </c>
      <c r="FM2" t="s">
        <v>556</v>
      </c>
      <c r="FN2" t="s">
        <v>556</v>
      </c>
      <c r="FO2" t="s">
        <v>581</v>
      </c>
      <c r="FP2" t="s">
        <v>581</v>
      </c>
      <c r="FQ2" t="s">
        <v>581</v>
      </c>
      <c r="FR2" t="s">
        <v>581</v>
      </c>
      <c r="FS2" t="s">
        <v>581</v>
      </c>
      <c r="FT2" t="s">
        <v>581</v>
      </c>
      <c r="FU2" t="s">
        <v>581</v>
      </c>
    </row>
    <row r="3" spans="1:177" x14ac:dyDescent="0.45">
      <c r="A3" t="s">
        <v>590</v>
      </c>
      <c r="B3" t="s">
        <v>253</v>
      </c>
      <c r="C3" t="s">
        <v>253</v>
      </c>
      <c r="D3" t="s">
        <v>253</v>
      </c>
      <c r="E3" t="s">
        <v>253</v>
      </c>
      <c r="F3" t="s">
        <v>253</v>
      </c>
      <c r="G3" t="s">
        <v>265</v>
      </c>
      <c r="H3" t="s">
        <v>265</v>
      </c>
      <c r="I3" t="s">
        <v>265</v>
      </c>
      <c r="J3" t="s">
        <v>265</v>
      </c>
      <c r="K3" t="s">
        <v>265</v>
      </c>
      <c r="L3" t="s">
        <v>265</v>
      </c>
      <c r="M3" t="s">
        <v>265</v>
      </c>
      <c r="N3" t="s">
        <v>265</v>
      </c>
      <c r="O3" t="s">
        <v>265</v>
      </c>
      <c r="P3" t="s">
        <v>265</v>
      </c>
      <c r="Q3" t="s">
        <v>265</v>
      </c>
      <c r="R3" t="s">
        <v>265</v>
      </c>
      <c r="S3" t="s">
        <v>265</v>
      </c>
      <c r="T3" t="s">
        <v>265</v>
      </c>
      <c r="U3" t="s">
        <v>265</v>
      </c>
      <c r="V3" t="s">
        <v>265</v>
      </c>
      <c r="W3" t="s">
        <v>265</v>
      </c>
      <c r="X3" t="s">
        <v>253</v>
      </c>
      <c r="Y3" t="s">
        <v>253</v>
      </c>
      <c r="Z3" t="s">
        <v>253</v>
      </c>
      <c r="AA3" t="s">
        <v>253</v>
      </c>
      <c r="AB3" t="s">
        <v>253</v>
      </c>
      <c r="AC3" t="s">
        <v>253</v>
      </c>
      <c r="AD3" t="s">
        <v>253</v>
      </c>
      <c r="AE3" t="s">
        <v>253</v>
      </c>
      <c r="AF3" t="s">
        <v>253</v>
      </c>
      <c r="AG3" t="s">
        <v>318</v>
      </c>
      <c r="AH3" t="s">
        <v>318</v>
      </c>
      <c r="AI3" t="s">
        <v>318</v>
      </c>
      <c r="AJ3" t="s">
        <v>318</v>
      </c>
      <c r="AK3" t="s">
        <v>318</v>
      </c>
      <c r="AL3" t="s">
        <v>318</v>
      </c>
      <c r="AM3" t="s">
        <v>318</v>
      </c>
      <c r="AN3" t="s">
        <v>318</v>
      </c>
      <c r="AO3" t="s">
        <v>318</v>
      </c>
      <c r="AP3" t="s">
        <v>318</v>
      </c>
      <c r="AQ3" t="s">
        <v>318</v>
      </c>
      <c r="AR3" t="s">
        <v>318</v>
      </c>
      <c r="AS3" t="s">
        <v>318</v>
      </c>
      <c r="AT3" t="s">
        <v>318</v>
      </c>
      <c r="AU3" t="s">
        <v>318</v>
      </c>
      <c r="AV3" t="s">
        <v>318</v>
      </c>
      <c r="AW3" t="s">
        <v>318</v>
      </c>
      <c r="AX3" t="s">
        <v>318</v>
      </c>
      <c r="AY3" t="s">
        <v>318</v>
      </c>
      <c r="AZ3" t="s">
        <v>318</v>
      </c>
      <c r="BA3" t="s">
        <v>318</v>
      </c>
      <c r="BB3" t="s">
        <v>318</v>
      </c>
      <c r="BC3" t="s">
        <v>318</v>
      </c>
      <c r="BD3" t="s">
        <v>318</v>
      </c>
      <c r="BE3" t="s">
        <v>318</v>
      </c>
      <c r="BF3" t="s">
        <v>318</v>
      </c>
      <c r="BG3" t="s">
        <v>318</v>
      </c>
      <c r="BH3" t="s">
        <v>318</v>
      </c>
      <c r="BI3" t="s">
        <v>318</v>
      </c>
      <c r="BJ3" t="s">
        <v>318</v>
      </c>
      <c r="BK3" t="s">
        <v>380</v>
      </c>
      <c r="BL3" t="s">
        <v>380</v>
      </c>
      <c r="BM3" t="s">
        <v>380</v>
      </c>
      <c r="BN3" t="s">
        <v>380</v>
      </c>
      <c r="BO3" t="s">
        <v>380</v>
      </c>
      <c r="BP3" t="s">
        <v>380</v>
      </c>
      <c r="BQ3" t="s">
        <v>380</v>
      </c>
      <c r="BR3" t="s">
        <v>380</v>
      </c>
      <c r="BS3" t="s">
        <v>380</v>
      </c>
      <c r="BT3" t="s">
        <v>380</v>
      </c>
      <c r="BU3" t="s">
        <v>380</v>
      </c>
      <c r="BV3" t="s">
        <v>380</v>
      </c>
      <c r="BW3" t="s">
        <v>380</v>
      </c>
      <c r="BX3" t="s">
        <v>380</v>
      </c>
      <c r="BY3" t="s">
        <v>380</v>
      </c>
      <c r="BZ3" t="s">
        <v>380</v>
      </c>
      <c r="CA3" t="s">
        <v>380</v>
      </c>
      <c r="CB3" t="s">
        <v>380</v>
      </c>
      <c r="CC3" t="s">
        <v>380</v>
      </c>
      <c r="CD3" t="s">
        <v>380</v>
      </c>
      <c r="CE3" t="s">
        <v>380</v>
      </c>
      <c r="CF3" t="s">
        <v>380</v>
      </c>
      <c r="CG3" t="s">
        <v>380</v>
      </c>
      <c r="CH3" t="s">
        <v>380</v>
      </c>
      <c r="CI3" t="s">
        <v>380</v>
      </c>
      <c r="CJ3" t="s">
        <v>380</v>
      </c>
      <c r="CK3" t="s">
        <v>380</v>
      </c>
      <c r="CL3" t="s">
        <v>380</v>
      </c>
      <c r="CM3" t="s">
        <v>380</v>
      </c>
      <c r="CN3" t="s">
        <v>380</v>
      </c>
      <c r="CO3" t="s">
        <v>253</v>
      </c>
      <c r="CP3" t="s">
        <v>253</v>
      </c>
      <c r="CQ3" t="s">
        <v>253</v>
      </c>
      <c r="CR3" t="s">
        <v>253</v>
      </c>
      <c r="CS3" t="s">
        <v>253</v>
      </c>
      <c r="CT3" t="s">
        <v>253</v>
      </c>
      <c r="CU3" t="s">
        <v>253</v>
      </c>
      <c r="CV3" t="s">
        <v>253</v>
      </c>
      <c r="CW3" t="s">
        <v>253</v>
      </c>
      <c r="CX3" t="s">
        <v>253</v>
      </c>
      <c r="CY3" t="s">
        <v>253</v>
      </c>
      <c r="CZ3" t="s">
        <v>253</v>
      </c>
      <c r="DA3" t="s">
        <v>253</v>
      </c>
      <c r="DB3" t="s">
        <v>253</v>
      </c>
      <c r="DC3" t="s">
        <v>253</v>
      </c>
      <c r="DD3" t="s">
        <v>253</v>
      </c>
      <c r="DE3" t="s">
        <v>253</v>
      </c>
      <c r="DF3" t="s">
        <v>253</v>
      </c>
      <c r="DG3" t="s">
        <v>253</v>
      </c>
      <c r="DH3" t="s">
        <v>253</v>
      </c>
      <c r="DI3" t="s">
        <v>253</v>
      </c>
      <c r="DJ3" t="s">
        <v>253</v>
      </c>
      <c r="DK3" t="s">
        <v>253</v>
      </c>
      <c r="DL3" t="s">
        <v>253</v>
      </c>
      <c r="DM3" t="s">
        <v>253</v>
      </c>
      <c r="DN3" t="s">
        <v>253</v>
      </c>
      <c r="DO3" t="s">
        <v>253</v>
      </c>
      <c r="DP3" t="s">
        <v>253</v>
      </c>
      <c r="DQ3" t="s">
        <v>253</v>
      </c>
      <c r="DR3" t="s">
        <v>253</v>
      </c>
      <c r="DS3" t="s">
        <v>253</v>
      </c>
      <c r="DT3" t="s">
        <v>253</v>
      </c>
      <c r="DU3" t="s">
        <v>253</v>
      </c>
      <c r="DV3" t="s">
        <v>253</v>
      </c>
      <c r="DW3" t="s">
        <v>253</v>
      </c>
      <c r="DX3" t="s">
        <v>253</v>
      </c>
      <c r="DY3" t="s">
        <v>253</v>
      </c>
      <c r="DZ3" t="s">
        <v>253</v>
      </c>
      <c r="EA3" t="s">
        <v>253</v>
      </c>
      <c r="EB3" t="s">
        <v>253</v>
      </c>
      <c r="EC3" t="s">
        <v>253</v>
      </c>
      <c r="ED3" t="s">
        <v>253</v>
      </c>
      <c r="EE3" t="s">
        <v>253</v>
      </c>
      <c r="EF3" t="s">
        <v>253</v>
      </c>
      <c r="EG3" t="s">
        <v>253</v>
      </c>
      <c r="EH3" t="s">
        <v>253</v>
      </c>
      <c r="EI3" t="s">
        <v>253</v>
      </c>
      <c r="EJ3" t="s">
        <v>253</v>
      </c>
      <c r="EK3" t="s">
        <v>253</v>
      </c>
      <c r="EL3" t="s">
        <v>253</v>
      </c>
      <c r="EM3" t="s">
        <v>253</v>
      </c>
      <c r="EN3" t="s">
        <v>253</v>
      </c>
      <c r="EO3" t="s">
        <v>253</v>
      </c>
      <c r="EP3" t="s">
        <v>253</v>
      </c>
      <c r="EQ3" t="s">
        <v>253</v>
      </c>
      <c r="ER3" t="s">
        <v>253</v>
      </c>
      <c r="ES3" t="s">
        <v>253</v>
      </c>
      <c r="ET3" t="s">
        <v>253</v>
      </c>
      <c r="EU3" t="s">
        <v>253</v>
      </c>
      <c r="EV3" t="s">
        <v>253</v>
      </c>
      <c r="EW3" t="s">
        <v>253</v>
      </c>
      <c r="EX3" t="s">
        <v>253</v>
      </c>
      <c r="EY3" t="s">
        <v>253</v>
      </c>
      <c r="EZ3" t="s">
        <v>253</v>
      </c>
      <c r="FA3" t="s">
        <v>253</v>
      </c>
      <c r="FB3" t="s">
        <v>253</v>
      </c>
      <c r="FC3" t="s">
        <v>253</v>
      </c>
      <c r="FD3" t="s">
        <v>253</v>
      </c>
      <c r="FE3" t="s">
        <v>253</v>
      </c>
      <c r="FF3" t="s">
        <v>253</v>
      </c>
      <c r="FG3" t="s">
        <v>253</v>
      </c>
      <c r="FH3" t="s">
        <v>253</v>
      </c>
      <c r="FI3" t="s">
        <v>253</v>
      </c>
      <c r="FJ3" t="s">
        <v>253</v>
      </c>
      <c r="FK3" t="s">
        <v>253</v>
      </c>
      <c r="FL3" t="s">
        <v>253</v>
      </c>
      <c r="FM3" t="s">
        <v>253</v>
      </c>
      <c r="FN3" t="s">
        <v>253</v>
      </c>
      <c r="FO3" t="s">
        <v>253</v>
      </c>
      <c r="FP3" t="s">
        <v>253</v>
      </c>
      <c r="FQ3" t="s">
        <v>253</v>
      </c>
      <c r="FR3" t="s">
        <v>253</v>
      </c>
      <c r="FS3" t="s">
        <v>253</v>
      </c>
      <c r="FT3" t="s">
        <v>253</v>
      </c>
      <c r="FU3" t="s">
        <v>253</v>
      </c>
    </row>
    <row r="4" spans="1:177" x14ac:dyDescent="0.45">
      <c r="A4" t="s">
        <v>591</v>
      </c>
      <c r="B4">
        <v>0</v>
      </c>
      <c r="C4">
        <v>0</v>
      </c>
      <c r="D4">
        <v>0</v>
      </c>
      <c r="E4">
        <v>0</v>
      </c>
      <c r="F4">
        <v>0</v>
      </c>
      <c r="G4">
        <v>0</v>
      </c>
      <c r="H4">
        <v>0</v>
      </c>
      <c r="I4">
        <v>0</v>
      </c>
      <c r="J4">
        <v>0</v>
      </c>
      <c r="K4">
        <v>1</v>
      </c>
      <c r="L4">
        <v>0</v>
      </c>
      <c r="M4">
        <v>0</v>
      </c>
      <c r="N4">
        <v>1</v>
      </c>
      <c r="O4">
        <v>0</v>
      </c>
      <c r="P4">
        <v>1</v>
      </c>
      <c r="Q4">
        <v>0</v>
      </c>
      <c r="R4">
        <v>1</v>
      </c>
      <c r="S4">
        <v>0</v>
      </c>
      <c r="T4">
        <v>0</v>
      </c>
      <c r="U4">
        <v>0</v>
      </c>
      <c r="V4">
        <v>0</v>
      </c>
      <c r="W4">
        <v>1</v>
      </c>
      <c r="X4">
        <v>0</v>
      </c>
      <c r="Y4">
        <v>0</v>
      </c>
      <c r="Z4">
        <v>0</v>
      </c>
      <c r="AA4">
        <v>1</v>
      </c>
      <c r="AB4">
        <v>0</v>
      </c>
      <c r="AC4">
        <v>0</v>
      </c>
      <c r="AD4">
        <v>0</v>
      </c>
      <c r="AE4">
        <v>0</v>
      </c>
      <c r="AF4">
        <v>1</v>
      </c>
      <c r="AG4">
        <v>0</v>
      </c>
      <c r="AH4">
        <v>0</v>
      </c>
      <c r="AI4">
        <v>0</v>
      </c>
      <c r="AJ4">
        <v>0</v>
      </c>
      <c r="AK4">
        <v>0</v>
      </c>
      <c r="AL4">
        <v>0</v>
      </c>
      <c r="AM4">
        <v>0</v>
      </c>
      <c r="AN4">
        <v>0</v>
      </c>
      <c r="AO4">
        <v>0</v>
      </c>
      <c r="AP4">
        <v>0</v>
      </c>
      <c r="AQ4">
        <v>0</v>
      </c>
      <c r="AR4">
        <v>1</v>
      </c>
      <c r="AS4">
        <v>1</v>
      </c>
      <c r="AT4">
        <v>1</v>
      </c>
      <c r="AU4">
        <v>0</v>
      </c>
      <c r="AV4">
        <v>0</v>
      </c>
      <c r="AW4">
        <v>0</v>
      </c>
      <c r="AX4">
        <v>0</v>
      </c>
      <c r="AY4">
        <v>0</v>
      </c>
      <c r="AZ4">
        <v>0</v>
      </c>
      <c r="BA4">
        <v>0</v>
      </c>
      <c r="BB4">
        <v>1</v>
      </c>
      <c r="BC4">
        <v>0</v>
      </c>
      <c r="BD4">
        <v>1</v>
      </c>
      <c r="BE4">
        <v>0</v>
      </c>
      <c r="BF4">
        <v>1</v>
      </c>
      <c r="BG4">
        <v>0</v>
      </c>
      <c r="BH4">
        <v>0</v>
      </c>
      <c r="BI4">
        <v>1</v>
      </c>
      <c r="BJ4">
        <v>0</v>
      </c>
      <c r="BK4">
        <v>0</v>
      </c>
      <c r="BL4">
        <v>0</v>
      </c>
      <c r="BM4">
        <v>0</v>
      </c>
      <c r="BN4">
        <v>0</v>
      </c>
      <c r="BO4">
        <v>0</v>
      </c>
      <c r="BP4">
        <v>0</v>
      </c>
      <c r="BQ4">
        <v>0</v>
      </c>
      <c r="BR4">
        <v>0</v>
      </c>
      <c r="BS4">
        <v>0</v>
      </c>
      <c r="BT4">
        <v>0</v>
      </c>
      <c r="BU4">
        <v>0</v>
      </c>
      <c r="BV4">
        <v>1</v>
      </c>
      <c r="BW4">
        <v>1</v>
      </c>
      <c r="BX4">
        <v>1</v>
      </c>
      <c r="BY4">
        <v>0</v>
      </c>
      <c r="BZ4">
        <v>0</v>
      </c>
      <c r="CA4">
        <v>0</v>
      </c>
      <c r="CB4">
        <v>0</v>
      </c>
      <c r="CC4">
        <v>0</v>
      </c>
      <c r="CD4">
        <v>0</v>
      </c>
      <c r="CE4">
        <v>0</v>
      </c>
      <c r="CF4">
        <v>1</v>
      </c>
      <c r="CG4">
        <v>0</v>
      </c>
      <c r="CH4">
        <v>1</v>
      </c>
      <c r="CI4">
        <v>0</v>
      </c>
      <c r="CJ4">
        <v>1</v>
      </c>
      <c r="CK4">
        <v>0</v>
      </c>
      <c r="CL4">
        <v>0</v>
      </c>
      <c r="CM4">
        <v>1</v>
      </c>
      <c r="CN4">
        <v>0</v>
      </c>
      <c r="CO4">
        <v>0</v>
      </c>
      <c r="CP4">
        <v>0</v>
      </c>
      <c r="CQ4">
        <v>0</v>
      </c>
      <c r="CR4">
        <v>0</v>
      </c>
      <c r="CS4">
        <v>0</v>
      </c>
      <c r="CT4">
        <v>0</v>
      </c>
      <c r="CU4">
        <v>0</v>
      </c>
      <c r="CV4">
        <v>0</v>
      </c>
      <c r="CW4">
        <v>0</v>
      </c>
      <c r="CX4">
        <v>0</v>
      </c>
      <c r="CY4">
        <v>0</v>
      </c>
      <c r="CZ4">
        <v>0</v>
      </c>
      <c r="DA4">
        <v>0</v>
      </c>
      <c r="DB4">
        <v>0</v>
      </c>
      <c r="DC4">
        <v>0</v>
      </c>
      <c r="DD4">
        <v>0</v>
      </c>
      <c r="DE4">
        <v>0</v>
      </c>
      <c r="DF4">
        <v>0</v>
      </c>
      <c r="DG4">
        <v>0</v>
      </c>
      <c r="DH4">
        <v>0</v>
      </c>
      <c r="DI4">
        <v>0</v>
      </c>
      <c r="DJ4">
        <v>0</v>
      </c>
      <c r="DK4">
        <v>0</v>
      </c>
      <c r="DL4">
        <v>0</v>
      </c>
      <c r="DM4">
        <v>0</v>
      </c>
      <c r="DN4">
        <v>0</v>
      </c>
      <c r="DO4">
        <v>0</v>
      </c>
      <c r="DP4">
        <v>0</v>
      </c>
      <c r="DQ4">
        <v>0</v>
      </c>
      <c r="DR4">
        <v>0</v>
      </c>
      <c r="DS4">
        <v>0</v>
      </c>
      <c r="DT4">
        <v>0</v>
      </c>
      <c r="DU4">
        <v>0</v>
      </c>
      <c r="DV4">
        <v>0</v>
      </c>
      <c r="DW4">
        <v>0</v>
      </c>
      <c r="DX4">
        <v>0</v>
      </c>
      <c r="DY4">
        <v>0</v>
      </c>
      <c r="DZ4">
        <v>0</v>
      </c>
      <c r="EA4">
        <v>0</v>
      </c>
      <c r="EB4">
        <v>0</v>
      </c>
      <c r="EC4">
        <v>0</v>
      </c>
      <c r="ED4">
        <v>0</v>
      </c>
      <c r="EE4">
        <v>0</v>
      </c>
      <c r="EF4">
        <v>0</v>
      </c>
      <c r="EG4">
        <v>0</v>
      </c>
      <c r="EH4">
        <v>0</v>
      </c>
      <c r="EI4">
        <v>0</v>
      </c>
      <c r="EJ4">
        <v>0</v>
      </c>
      <c r="EK4">
        <v>0</v>
      </c>
      <c r="EL4">
        <v>0</v>
      </c>
      <c r="EM4">
        <v>0</v>
      </c>
      <c r="EN4">
        <v>0</v>
      </c>
      <c r="EO4">
        <v>0</v>
      </c>
      <c r="EP4">
        <v>0</v>
      </c>
      <c r="EQ4">
        <v>0</v>
      </c>
      <c r="ER4">
        <v>0</v>
      </c>
      <c r="ES4">
        <v>0</v>
      </c>
      <c r="ET4">
        <v>0</v>
      </c>
      <c r="EU4">
        <v>0</v>
      </c>
      <c r="EV4">
        <v>0</v>
      </c>
      <c r="EW4">
        <v>0</v>
      </c>
      <c r="EX4">
        <v>0</v>
      </c>
      <c r="EY4">
        <v>0</v>
      </c>
      <c r="EZ4">
        <v>0</v>
      </c>
      <c r="FA4">
        <v>0</v>
      </c>
      <c r="FB4">
        <v>0</v>
      </c>
      <c r="FC4">
        <v>0</v>
      </c>
      <c r="FD4">
        <v>0</v>
      </c>
      <c r="FE4">
        <v>0</v>
      </c>
      <c r="FF4">
        <v>0</v>
      </c>
      <c r="FG4">
        <v>0</v>
      </c>
      <c r="FH4">
        <v>0</v>
      </c>
      <c r="FI4">
        <v>0</v>
      </c>
      <c r="FJ4">
        <v>0</v>
      </c>
      <c r="FK4">
        <v>0</v>
      </c>
      <c r="FL4">
        <v>0</v>
      </c>
      <c r="FM4">
        <v>0</v>
      </c>
      <c r="FN4">
        <v>0</v>
      </c>
      <c r="FO4">
        <v>0</v>
      </c>
      <c r="FP4">
        <v>0</v>
      </c>
      <c r="FQ4">
        <v>0</v>
      </c>
      <c r="FR4">
        <v>0</v>
      </c>
      <c r="FS4">
        <v>0</v>
      </c>
      <c r="FT4">
        <v>0</v>
      </c>
      <c r="FU4">
        <v>0</v>
      </c>
    </row>
    <row r="5" spans="1:177" x14ac:dyDescent="0.45">
      <c r="A5" t="s">
        <v>592</v>
      </c>
      <c r="B5" t="s">
        <v>254</v>
      </c>
      <c r="C5" t="s">
        <v>256</v>
      </c>
      <c r="D5" t="s">
        <v>258</v>
      </c>
      <c r="E5" t="s">
        <v>260</v>
      </c>
      <c r="F5" t="s">
        <v>262</v>
      </c>
      <c r="G5" t="s">
        <v>266</v>
      </c>
      <c r="H5" t="s">
        <v>268</v>
      </c>
      <c r="I5" t="s">
        <v>270</v>
      </c>
      <c r="J5" t="s">
        <v>272</v>
      </c>
      <c r="K5" t="s">
        <v>274</v>
      </c>
      <c r="L5" t="s">
        <v>276</v>
      </c>
      <c r="M5" t="s">
        <v>278</v>
      </c>
      <c r="N5" t="s">
        <v>280</v>
      </c>
      <c r="O5" t="s">
        <v>282</v>
      </c>
      <c r="P5" t="s">
        <v>284</v>
      </c>
      <c r="Q5" t="s">
        <v>286</v>
      </c>
      <c r="R5" t="s">
        <v>288</v>
      </c>
      <c r="S5" t="s">
        <v>290</v>
      </c>
      <c r="T5" t="s">
        <v>292</v>
      </c>
      <c r="U5" t="s">
        <v>294</v>
      </c>
      <c r="V5" t="s">
        <v>296</v>
      </c>
      <c r="W5" t="s">
        <v>298</v>
      </c>
      <c r="X5" t="s">
        <v>300</v>
      </c>
      <c r="Y5" t="s">
        <v>302</v>
      </c>
      <c r="Z5" t="s">
        <v>304</v>
      </c>
      <c r="AA5" t="s">
        <v>306</v>
      </c>
      <c r="AB5" t="s">
        <v>308</v>
      </c>
      <c r="AC5" t="s">
        <v>310</v>
      </c>
      <c r="AD5" t="s">
        <v>312</v>
      </c>
      <c r="AE5" t="s">
        <v>314</v>
      </c>
      <c r="AF5" t="s">
        <v>316</v>
      </c>
      <c r="AG5" t="s">
        <v>319</v>
      </c>
      <c r="AH5" t="s">
        <v>321</v>
      </c>
      <c r="AI5" t="s">
        <v>323</v>
      </c>
      <c r="AJ5" t="s">
        <v>325</v>
      </c>
      <c r="AK5" t="s">
        <v>327</v>
      </c>
      <c r="AL5" t="s">
        <v>329</v>
      </c>
      <c r="AM5" t="s">
        <v>331</v>
      </c>
      <c r="AN5" t="s">
        <v>334</v>
      </c>
      <c r="AO5" t="s">
        <v>336</v>
      </c>
      <c r="AP5" t="s">
        <v>338</v>
      </c>
      <c r="AQ5" t="s">
        <v>340</v>
      </c>
      <c r="AR5" t="s">
        <v>342</v>
      </c>
      <c r="AS5" t="s">
        <v>344</v>
      </c>
      <c r="AT5" t="s">
        <v>346</v>
      </c>
      <c r="AU5" t="s">
        <v>348</v>
      </c>
      <c r="AV5" t="s">
        <v>350</v>
      </c>
      <c r="AW5" t="s">
        <v>352</v>
      </c>
      <c r="AX5" t="s">
        <v>354</v>
      </c>
      <c r="AY5" t="s">
        <v>356</v>
      </c>
      <c r="AZ5" t="s">
        <v>358</v>
      </c>
      <c r="BA5" t="s">
        <v>360</v>
      </c>
      <c r="BB5" t="s">
        <v>362</v>
      </c>
      <c r="BC5" t="s">
        <v>364</v>
      </c>
      <c r="BD5" t="s">
        <v>366</v>
      </c>
      <c r="BE5" t="s">
        <v>368</v>
      </c>
      <c r="BF5" t="s">
        <v>370</v>
      </c>
      <c r="BG5" t="s">
        <v>372</v>
      </c>
      <c r="BH5" t="s">
        <v>374</v>
      </c>
      <c r="BI5" t="s">
        <v>376</v>
      </c>
      <c r="BJ5" t="s">
        <v>378</v>
      </c>
      <c r="BK5" t="s">
        <v>381</v>
      </c>
      <c r="BL5" t="s">
        <v>383</v>
      </c>
      <c r="BM5" t="s">
        <v>385</v>
      </c>
      <c r="BN5" t="s">
        <v>387</v>
      </c>
      <c r="BO5" t="s">
        <v>389</v>
      </c>
      <c r="BP5" t="s">
        <v>391</v>
      </c>
      <c r="BQ5" t="s">
        <v>393</v>
      </c>
      <c r="BR5" t="s">
        <v>395</v>
      </c>
      <c r="BS5" t="s">
        <v>397</v>
      </c>
      <c r="BT5" t="s">
        <v>399</v>
      </c>
      <c r="BU5" t="s">
        <v>401</v>
      </c>
      <c r="BV5" t="s">
        <v>403</v>
      </c>
      <c r="BW5" t="s">
        <v>405</v>
      </c>
      <c r="BX5" t="s">
        <v>407</v>
      </c>
      <c r="BY5" t="s">
        <v>409</v>
      </c>
      <c r="BZ5" t="s">
        <v>411</v>
      </c>
      <c r="CA5" t="s">
        <v>413</v>
      </c>
      <c r="CB5" t="s">
        <v>415</v>
      </c>
      <c r="CC5" t="s">
        <v>417</v>
      </c>
      <c r="CD5" t="s">
        <v>419</v>
      </c>
      <c r="CE5" t="s">
        <v>421</v>
      </c>
      <c r="CF5" t="s">
        <v>423</v>
      </c>
      <c r="CG5" t="s">
        <v>425</v>
      </c>
      <c r="CH5" t="s">
        <v>427</v>
      </c>
      <c r="CI5" t="s">
        <v>429</v>
      </c>
      <c r="CJ5" t="s">
        <v>431</v>
      </c>
      <c r="CK5" t="s">
        <v>433</v>
      </c>
      <c r="CL5" t="s">
        <v>435</v>
      </c>
      <c r="CM5" t="s">
        <v>437</v>
      </c>
      <c r="CN5" t="s">
        <v>439</v>
      </c>
      <c r="CO5" t="s">
        <v>442</v>
      </c>
      <c r="CP5" t="s">
        <v>444</v>
      </c>
      <c r="CQ5" t="s">
        <v>446</v>
      </c>
      <c r="CR5" t="s">
        <v>448</v>
      </c>
      <c r="CS5" t="s">
        <v>450</v>
      </c>
      <c r="CT5" t="s">
        <v>452</v>
      </c>
      <c r="CU5" t="s">
        <v>454</v>
      </c>
      <c r="CV5" t="s">
        <v>456</v>
      </c>
      <c r="CW5" t="s">
        <v>458</v>
      </c>
      <c r="CX5" t="s">
        <v>460</v>
      </c>
      <c r="CY5" t="s">
        <v>462</v>
      </c>
      <c r="CZ5" t="s">
        <v>464</v>
      </c>
      <c r="DA5" t="s">
        <v>466</v>
      </c>
      <c r="DB5" t="s">
        <v>468</v>
      </c>
      <c r="DC5" t="s">
        <v>470</v>
      </c>
      <c r="DD5" t="s">
        <v>472</v>
      </c>
      <c r="DE5" t="s">
        <v>474</v>
      </c>
      <c r="DF5" t="s">
        <v>476</v>
      </c>
      <c r="DG5" t="s">
        <v>478</v>
      </c>
      <c r="DH5" t="s">
        <v>480</v>
      </c>
      <c r="DI5" t="s">
        <v>482</v>
      </c>
      <c r="DJ5" t="s">
        <v>484</v>
      </c>
      <c r="DK5" t="s">
        <v>486</v>
      </c>
      <c r="DL5" t="s">
        <v>488</v>
      </c>
      <c r="DM5" t="s">
        <v>490</v>
      </c>
      <c r="DN5" t="s">
        <v>492</v>
      </c>
      <c r="DO5" t="s">
        <v>494</v>
      </c>
      <c r="DP5" t="s">
        <v>496</v>
      </c>
      <c r="DQ5" t="s">
        <v>498</v>
      </c>
      <c r="DR5" t="s">
        <v>500</v>
      </c>
      <c r="DS5" t="s">
        <v>502</v>
      </c>
      <c r="DT5" t="s">
        <v>504</v>
      </c>
      <c r="DU5" t="s">
        <v>506</v>
      </c>
      <c r="DV5" t="s">
        <v>508</v>
      </c>
      <c r="DW5" t="s">
        <v>510</v>
      </c>
      <c r="DX5" t="s">
        <v>512</v>
      </c>
      <c r="DY5" t="s">
        <v>514</v>
      </c>
      <c r="DZ5" t="s">
        <v>516</v>
      </c>
      <c r="EA5" t="s">
        <v>518</v>
      </c>
      <c r="EB5" t="s">
        <v>520</v>
      </c>
      <c r="EC5" t="s">
        <v>522</v>
      </c>
      <c r="ED5" t="s">
        <v>524</v>
      </c>
      <c r="EE5" t="s">
        <v>526</v>
      </c>
      <c r="EF5" t="s">
        <v>528</v>
      </c>
      <c r="EG5" t="s">
        <v>530</v>
      </c>
      <c r="EH5" t="s">
        <v>532</v>
      </c>
      <c r="EI5" t="s">
        <v>534</v>
      </c>
      <c r="EJ5" t="s">
        <v>536</v>
      </c>
      <c r="EK5" t="s">
        <v>538</v>
      </c>
      <c r="EL5" t="s">
        <v>540</v>
      </c>
      <c r="EM5" t="s">
        <v>542</v>
      </c>
      <c r="EN5" t="s">
        <v>544</v>
      </c>
      <c r="EO5" t="s">
        <v>546</v>
      </c>
      <c r="EP5" t="s">
        <v>548</v>
      </c>
      <c r="EQ5" t="s">
        <v>550</v>
      </c>
      <c r="ER5" t="s">
        <v>552</v>
      </c>
      <c r="ES5" t="s">
        <v>554</v>
      </c>
      <c r="ET5" t="s">
        <v>555</v>
      </c>
      <c r="EU5" t="s">
        <v>557</v>
      </c>
      <c r="EV5" t="s">
        <v>558</v>
      </c>
      <c r="EW5" t="s">
        <v>559</v>
      </c>
      <c r="EX5" t="s">
        <v>561</v>
      </c>
      <c r="EY5" t="s">
        <v>562</v>
      </c>
      <c r="EZ5" t="s">
        <v>564</v>
      </c>
      <c r="FA5" t="s">
        <v>566</v>
      </c>
      <c r="FB5" t="s">
        <v>567</v>
      </c>
      <c r="FC5" t="s">
        <v>568</v>
      </c>
      <c r="FD5" t="s">
        <v>569</v>
      </c>
      <c r="FE5" t="s">
        <v>570</v>
      </c>
      <c r="FF5" t="s">
        <v>571</v>
      </c>
      <c r="FG5" t="s">
        <v>572</v>
      </c>
      <c r="FH5" t="s">
        <v>573</v>
      </c>
      <c r="FI5" t="s">
        <v>574</v>
      </c>
      <c r="FJ5" t="s">
        <v>575</v>
      </c>
      <c r="FK5" t="s">
        <v>576</v>
      </c>
      <c r="FL5" t="s">
        <v>577</v>
      </c>
      <c r="FM5" t="s">
        <v>578</v>
      </c>
      <c r="FN5" t="s">
        <v>579</v>
      </c>
      <c r="FO5" t="s">
        <v>580</v>
      </c>
      <c r="FP5" t="s">
        <v>582</v>
      </c>
      <c r="FQ5" t="s">
        <v>583</v>
      </c>
      <c r="FR5" t="s">
        <v>584</v>
      </c>
      <c r="FS5" t="s">
        <v>585</v>
      </c>
      <c r="FT5" t="s">
        <v>586</v>
      </c>
      <c r="FU5" t="s">
        <v>587</v>
      </c>
    </row>
    <row r="6" spans="1:177" x14ac:dyDescent="0.45">
      <c r="A6" t="s">
        <v>249</v>
      </c>
      <c r="B6" t="str">
        <f>INDEX(Items!$F:$F,MATCH(B$1,Items!$A:$A,0))</f>
        <v>GitHub Copilot</v>
      </c>
      <c r="C6" t="str">
        <f>INDEX(Items!$F:$F,MATCH(C$1,Items!$A:$A,0))</f>
        <v>Copilot Studio</v>
      </c>
      <c r="D6" t="str">
        <f>INDEX(Items!$F:$F,MATCH(D$1,Items!$A:$A,0))</f>
        <v>Microsoft 365 Copilot</v>
      </c>
      <c r="E6" t="str">
        <f>INDEX(Items!$F:$F,MATCH(E$1,Items!$A:$A,0))</f>
        <v>Azure AI Foundry</v>
      </c>
      <c r="F6" t="str">
        <f>INDEX(Items!$F:$F,MATCH(F$1,Items!$A:$A,0))</f>
        <v>Another AI tool not on this list</v>
      </c>
      <c r="G6" t="str">
        <f>INDEX(Items!$F:$F,MATCH(G$1,Items!$A:$A,0))</f>
        <v>I expect code an AI writes for me to be correct.</v>
      </c>
      <c r="H6" t="str">
        <f>INDEX(Items!$F:$F,MATCH(H$1,Items!$A:$A,0))</f>
        <v>I worry that leaning on AI will erode my own skills.</v>
      </c>
      <c r="I6" t="str">
        <f>INDEX(Items!$F:$F,MATCH(I$1,Items!$A:$A,0))</f>
        <v>AI-assisted work needs more review and testing than work someone wrote by hand.</v>
      </c>
      <c r="J6" t="str">
        <f>INDEX(Items!$F:$F,MATCH(J$1,Items!$A:$A,0))</f>
        <v>Code I ship should be something I could walk someone else through.</v>
      </c>
      <c r="K6" t="str">
        <f>INDEX(Items!$F:$F,MATCH(K$1,Items!$A:$A,0))</f>
        <v>I'd rather work through something myself than hand any of it to AI.</v>
      </c>
      <c r="L6" t="str">
        <f>INDEX(Items!$F:$F,MATCH(L$1,Items!$A:$A,0))</f>
        <v>AI-written code could introduce security problems we wouldn't catch.</v>
      </c>
      <c r="M6" t="str">
        <f>INDEX(Items!$F:$F,MATCH(M$1,Items!$A:$A,0))</f>
        <v>People should say when a change was mostly written by AI.</v>
      </c>
      <c r="N6" t="str">
        <f>INDEX(Items!$F:$F,MATCH(N$1,Items!$A:$A,0))</f>
        <v>When an AI tool doesn't give me what I need, I'm not sure what to change.</v>
      </c>
      <c r="O6" t="str">
        <f>INDEX(Items!$F:$F,MATCH(O$1,Items!$A:$A,0))</f>
        <v>Using AI-generated code could create licensing or IP problems for us.</v>
      </c>
      <c r="P6" t="str">
        <f>INDEX(Items!$F:$F,MATCH(P$1,Items!$A:$A,0))</f>
        <v>When a deadline is tight, tests and review are the first things I drop.</v>
      </c>
      <c r="Q6" t="str">
        <f>INDEX(Items!$F:$F,MATCH(Q$1,Items!$A:$A,0))</f>
        <v>There should be parts of our work where AI isn't used at all.</v>
      </c>
      <c r="R6" t="str">
        <f>INDEX(Items!$F:$F,MATCH(R$1,Items!$A:$A,0))</f>
        <v>Code we write with AI will be just as maintainable as anything else we write.</v>
      </c>
      <c r="S6" t="str">
        <f>INDEX(Items!$F:$F,MATCH(S$1,Items!$A:$A,0))</f>
        <v>I trust AI's output about as much as I'd trust a colleague's.</v>
      </c>
      <c r="T6" t="str">
        <f>INDEX(Items!$F:$F,MATCH(T$1,Items!$A:$A,0))</f>
        <v>Whatever we agree about AI use should be enforced by our tooling, not left to judgement.</v>
      </c>
      <c r="U6" t="str">
        <f>INDEX(Items!$F:$F,MATCH(U$1,Items!$A:$A,0))</f>
        <v>I expect AI to change what my job is within a few years.</v>
      </c>
      <c r="V6" t="str">
        <f>INDEX(Items!$F:$F,MATCH(V$1,Items!$A:$A,0))</f>
        <v>I'd hold up my own change to fix something only I would notice.</v>
      </c>
      <c r="W6" t="str">
        <f>INDEX(Items!$F:$F,MATCH(W$1,Items!$A:$A,0))</f>
        <v>Our current process already covers AI-assisted work; it needs nothing extra.</v>
      </c>
      <c r="X6" t="str">
        <f>INDEX(Items!$F:$F,MATCH(X$1,Items!$A:$A,0))</f>
        <v>How often do you use an AI tool in your development work?</v>
      </c>
      <c r="Y6" t="str">
        <f>INDEX(Items!$F:$F,MATCH(Y$1,Items!$A:$A,0))</f>
        <v>How often do you get a usable result from an AI tool within a try or two?</v>
      </c>
      <c r="Z6" t="str">
        <f>INDEX(Items!$F:$F,MATCH(Z$1,Items!$A:$A,0))</f>
        <v>How often do you let an AI tool edit files or run commands in your project?</v>
      </c>
      <c r="AA6" t="str">
        <f>INDEX(Items!$F:$F,MATCH(AA$1,Items!$A:$A,0))</f>
        <v>How often do you read AI-written code line by line before you use it?</v>
      </c>
      <c r="AB6" t="str">
        <f>INDEX(Items!$F:$F,MATCH(AB$1,Items!$A:$A,0))</f>
        <v>How often do you tell people a change was mostly written by AI?</v>
      </c>
      <c r="AC6" t="str">
        <f>INDEX(Items!$F:$F,MATCH(AC$1,Items!$A:$A,0))</f>
        <v>How often do you use AI on work that ends up in production?</v>
      </c>
      <c r="AD6" t="str">
        <f>INDEX(Items!$F:$F,MATCH(AD$1,Items!$A:$A,0))</f>
        <v>How often do you hand AI a whole task and come back to a finished change?</v>
      </c>
      <c r="AE6" t="str">
        <f>INDEX(Items!$F:$F,MATCH(AE$1,Items!$A:$A,0))</f>
        <v>How often do you deliberately give an AI tool context — pointing it at the right files, rules, or docs?</v>
      </c>
      <c r="AF6" t="str">
        <f>INDEX(Items!$F:$F,MATCH(AF$1,Items!$A:$A,0))</f>
        <v>How often do you approve an agent's steps as it goes, rather than letting it run on?</v>
      </c>
      <c r="AG6" t="str">
        <f>INDEX(Items!$F:$F,MATCH(AG$1,Items!$A:$A,0))</f>
        <v>I would use AI in most development work.</v>
      </c>
      <c r="AH6" t="str">
        <f>INDEX(Items!$F:$F,MATCH(AH$1,Items!$A:$A,0))</f>
        <v>I would treat AI output as correct by default, checking only when something looks off.</v>
      </c>
      <c r="AI6" t="str">
        <f>INDEX(Items!$F:$F,MATCH(AI$1,Items!$A:$A,0))</f>
        <v>I would treat skill erosion as a real risk to watch for.</v>
      </c>
      <c r="AJ6" t="str">
        <f>INDEX(Items!$F:$F,MATCH(AJ$1,Items!$A:$A,0))</f>
        <v>I would give AI-assisted work more review and testing than hand-written work.</v>
      </c>
      <c r="AK6" t="str">
        <f>INDEX(Items!$F:$F,MATCH(AK$1,Items!$A:$A,0))</f>
        <v>I would let AI tools edit files and run commands directly.</v>
      </c>
      <c r="AL6" t="str">
        <f>INDEX(Items!$F:$F,MATCH(AL$1,Items!$A:$A,0))</f>
        <v>I would ship only code someone could walk another person through.</v>
      </c>
      <c r="AM6" t="str">
        <f>INDEX(Items!$F:$F,MATCH(AM$1,Items!$A:$A,0))</f>
        <v>I would be able to get what's needed out of an AI tool in a try or two.</v>
      </c>
      <c r="AN6" t="str">
        <f>INDEX(Items!$F:$F,MATCH(AN$1,Items!$A:$A,0))</f>
        <v>I would merge AI-written code I had not read line by line, as long as the tests pass.</v>
      </c>
      <c r="AO6" t="str">
        <f>INDEX(Items!$F:$F,MATCH(AO$1,Items!$A:$A,0))</f>
        <v>I would use AI on work that ends up in production.</v>
      </c>
      <c r="AP6" t="str">
        <f>INDEX(Items!$F:$F,MATCH(AP$1,Items!$A:$A,0))</f>
        <v>I would treat security problems in AI-written code as a live risk to guard against.</v>
      </c>
      <c r="AQ6" t="str">
        <f>INDEX(Items!$F:$F,MATCH(AQ$1,Items!$A:$A,0))</f>
        <v>I would say when a change was mostly written by AI.</v>
      </c>
      <c r="AR6" t="str">
        <f>INDEX(Items!$F:$F,MATCH(AR$1,Items!$A:$A,0))</f>
        <v>I would approve an agent's steps as it goes rather than letting it run on.</v>
      </c>
      <c r="AS6" t="str">
        <f>INDEX(Items!$F:$F,MATCH(AS$1,Items!$A:$A,0))</f>
        <v>I would read AI-written code line by line before it is used.</v>
      </c>
      <c r="AT6" t="str">
        <f>INDEX(Items!$F:$F,MATCH(AT$1,Items!$A:$A,0))</f>
        <v>I would let speed win over polish more often than it does today.</v>
      </c>
      <c r="AU6" t="str">
        <f>INDEX(Items!$F:$F,MATCH(AU$1,Items!$A:$A,0))</f>
        <v>I would be happy working with no AI tooling at all, the way I worked before it existed.</v>
      </c>
      <c r="AV6" t="str">
        <f>INDEX(Items!$F:$F,MATCH(AV$1,Items!$A:$A,0))</f>
        <v>I would routinely give AI tools proper context — the right files, rules and docs.</v>
      </c>
      <c r="AW6" t="str">
        <f>INDEX(Items!$F:$F,MATCH(AW$1,Items!$A:$A,0))</f>
        <v>I would treat licensing and IP exposure from AI-generated code as a live risk.</v>
      </c>
      <c r="AX6" t="str">
        <f>INDEX(Items!$F:$F,MATCH(AX$1,Items!$A:$A,0))</f>
        <v>I would keep parts of our work where AI isn't used at all.</v>
      </c>
      <c r="AY6" t="str">
        <f>INDEX(Items!$F:$F,MATCH(AY$1,Items!$A:$A,0))</f>
        <v>I would hand AI a whole task and come back to a finished change.</v>
      </c>
      <c r="AZ6" t="str">
        <f>INDEX(Items!$F:$F,MATCH(AZ$1,Items!$A:$A,0))</f>
        <v>I would hold up a change to fix something only its author would notice.</v>
      </c>
      <c r="BA6" t="str">
        <f>INDEX(Items!$F:$F,MATCH(BA$1,Items!$A:$A,0))</f>
        <v>I would trust AI's output about as much as a colleague's.</v>
      </c>
      <c r="BB6" t="str">
        <f>INDEX(Items!$F:$F,MATCH(BB$1,Items!$A:$A,0))</f>
        <v>I would keep doing things by hand rather than hand them to AI.</v>
      </c>
      <c r="BC6" t="str">
        <f>INDEX(Items!$F:$F,MATCH(BC$1,Items!$A:$A,0))</f>
        <v>I would let an agent work unsupervised for an hour and only look at the final result.</v>
      </c>
      <c r="BD6" t="str">
        <f>INDEX(Items!$F:$F,MATCH(BD$1,Items!$A:$A,0))</f>
        <v>I would be relaxed about how maintainable AI-written code is.</v>
      </c>
      <c r="BE6" t="str">
        <f>INDEX(Items!$F:$F,MATCH(BE$1,Items!$A:$A,0))</f>
        <v>I would have whatever we agree about AI enforced by our tooling rather than left to judgement.</v>
      </c>
      <c r="BF6" t="str">
        <f>INDEX(Items!$F:$F,MATCH(BF$1,Items!$A:$A,0))</f>
        <v>I would use AI tools as they come out of the box, without configuring or tuning them.</v>
      </c>
      <c r="BG6" t="str">
        <f>INDEX(Items!$F:$F,MATCH(BG$1,Items!$A:$A,0))</f>
        <v>I would expect to be able to explain every line of code that ships under my name.</v>
      </c>
      <c r="BH6" t="str">
        <f>INDEX(Items!$F:$F,MATCH(BH$1,Items!$A:$A,0))</f>
        <v>I would plan for AI changing what our jobs are.</v>
      </c>
      <c r="BI6" t="str">
        <f>INDEX(Items!$F:$F,MATCH(BI$1,Items!$A:$A,0))</f>
        <v>I would need nothing beyond our current process for AI-assisted work.</v>
      </c>
      <c r="BJ6" t="str">
        <f>INDEX(Items!$F:$F,MATCH(BJ$1,Items!$A:$A,0))</f>
        <v>I would slow down how fast I adopt AI, because the risks outweigh what I'd gain.</v>
      </c>
      <c r="BK6" t="str">
        <f>INDEX(Items!$F:$F,MATCH(BK$1,Items!$A:$A,0))</f>
        <v>The team should use AI in most development work.</v>
      </c>
      <c r="BL6" t="str">
        <f>INDEX(Items!$F:$F,MATCH(BL$1,Items!$A:$A,0))</f>
        <v>The team should treat AI output as correct by default, checking only when something looks off.</v>
      </c>
      <c r="BM6" t="str">
        <f>INDEX(Items!$F:$F,MATCH(BM$1,Items!$A:$A,0))</f>
        <v>The team should treat skill erosion as a real risk to watch for.</v>
      </c>
      <c r="BN6" t="str">
        <f>INDEX(Items!$F:$F,MATCH(BN$1,Items!$A:$A,0))</f>
        <v>The team should give AI-assisted work more review and testing than hand-written work.</v>
      </c>
      <c r="BO6" t="str">
        <f>INDEX(Items!$F:$F,MATCH(BO$1,Items!$A:$A,0))</f>
        <v>The team should let AI tools edit files and run commands directly.</v>
      </c>
      <c r="BP6" t="str">
        <f>INDEX(Items!$F:$F,MATCH(BP$1,Items!$A:$A,0))</f>
        <v>The team should ship only code someone could walk another person through.</v>
      </c>
      <c r="BQ6" t="str">
        <f>INDEX(Items!$F:$F,MATCH(BQ$1,Items!$A:$A,0))</f>
        <v>The team should be able to get what's needed out of an AI tool in a try or two.</v>
      </c>
      <c r="BR6" t="str">
        <f>INDEX(Items!$F:$F,MATCH(BR$1,Items!$A:$A,0))</f>
        <v>The team should merge AI-written code nobody has read line by line, as long as the tests pass.</v>
      </c>
      <c r="BS6" t="str">
        <f>INDEX(Items!$F:$F,MATCH(BS$1,Items!$A:$A,0))</f>
        <v>The team should use AI on work that ends up in production.</v>
      </c>
      <c r="BT6" t="str">
        <f>INDEX(Items!$F:$F,MATCH(BT$1,Items!$A:$A,0))</f>
        <v>The team should treat security problems in AI-written code as a live risk to guard against.</v>
      </c>
      <c r="BU6" t="str">
        <f>INDEX(Items!$F:$F,MATCH(BU$1,Items!$A:$A,0))</f>
        <v>The team should say when a change was mostly written by AI.</v>
      </c>
      <c r="BV6" t="str">
        <f>INDEX(Items!$F:$F,MATCH(BV$1,Items!$A:$A,0))</f>
        <v>The team should approve an agent's steps as it goes rather than letting it run on.</v>
      </c>
      <c r="BW6" t="str">
        <f>INDEX(Items!$F:$F,MATCH(BW$1,Items!$A:$A,0))</f>
        <v>The team should read AI-written code line by line before it is used.</v>
      </c>
      <c r="BX6" t="str">
        <f>INDEX(Items!$F:$F,MATCH(BX$1,Items!$A:$A,0))</f>
        <v>The team should let speed win over polish more often than it does today.</v>
      </c>
      <c r="BY6" t="str">
        <f>INDEX(Items!$F:$F,MATCH(BY$1,Items!$A:$A,0))</f>
        <v>The team should be fine going back to no AI tooling at all.</v>
      </c>
      <c r="BZ6" t="str">
        <f>INDEX(Items!$F:$F,MATCH(BZ$1,Items!$A:$A,0))</f>
        <v>The team should routinely give AI tools proper context — the right files, rules and docs.</v>
      </c>
      <c r="CA6" t="str">
        <f>INDEX(Items!$F:$F,MATCH(CA$1,Items!$A:$A,0))</f>
        <v>The team should treat licensing and IP exposure from AI-generated code as a live risk.</v>
      </c>
      <c r="CB6" t="str">
        <f>INDEX(Items!$F:$F,MATCH(CB$1,Items!$A:$A,0))</f>
        <v>The team should keep parts of our work where AI isn't used at all.</v>
      </c>
      <c r="CC6" t="str">
        <f>INDEX(Items!$F:$F,MATCH(CC$1,Items!$A:$A,0))</f>
        <v>The team should hand AI a whole task and come back to a finished change.</v>
      </c>
      <c r="CD6" t="str">
        <f>INDEX(Items!$F:$F,MATCH(CD$1,Items!$A:$A,0))</f>
        <v>The team should hold up a change to fix something only its author would notice.</v>
      </c>
      <c r="CE6" t="str">
        <f>INDEX(Items!$F:$F,MATCH(CE$1,Items!$A:$A,0))</f>
        <v>The team should trust AI's output about as much as a colleague's.</v>
      </c>
      <c r="CF6" t="str">
        <f>INDEX(Items!$F:$F,MATCH(CF$1,Items!$A:$A,0))</f>
        <v>The team should keep doing things by hand rather than hand them to AI.</v>
      </c>
      <c r="CG6" t="str">
        <f>INDEX(Items!$F:$F,MATCH(CG$1,Items!$A:$A,0))</f>
        <v>The team should let agents work unsupervised for an hour and only review the final result.</v>
      </c>
      <c r="CH6" t="str">
        <f>INDEX(Items!$F:$F,MATCH(CH$1,Items!$A:$A,0))</f>
        <v>The team should be relaxed about how maintainable AI-written code is.</v>
      </c>
      <c r="CI6" t="str">
        <f>INDEX(Items!$F:$F,MATCH(CI$1,Items!$A:$A,0))</f>
        <v>The team should have whatever we agree about AI enforced by our tooling rather than left to judgement.</v>
      </c>
      <c r="CJ6" t="str">
        <f>INDEX(Items!$F:$F,MATCH(CJ$1,Items!$A:$A,0))</f>
        <v>The team should use AI tools as they come out of the box, without configuring or tuning them.</v>
      </c>
      <c r="CK6" t="str">
        <f>INDEX(Items!$F:$F,MATCH(CK$1,Items!$A:$A,0))</f>
        <v>The team should expect everyone to be able to explain every line that ships under their name.</v>
      </c>
      <c r="CL6" t="str">
        <f>INDEX(Items!$F:$F,MATCH(CL$1,Items!$A:$A,0))</f>
        <v>The team should plan for AI changing what our jobs are.</v>
      </c>
      <c r="CM6" t="str">
        <f>INDEX(Items!$F:$F,MATCH(CM$1,Items!$A:$A,0))</f>
        <v>The team should need nothing beyond our current process for AI-assisted work.</v>
      </c>
      <c r="CN6" t="str">
        <f>INDEX(Items!$F:$F,MATCH(CN$1,Items!$A:$A,0))</f>
        <v>The team should slow down how fast we adopt AI, because the risks outweigh what we'd gain.</v>
      </c>
      <c r="CO6" t="str">
        <f>INDEX(Items!$F:$F,MATCH(CO$1,Items!$A:$A,0))</f>
        <v>Today: Requirements &amp; ideation</v>
      </c>
      <c r="CP6" t="str">
        <f>INDEX(Items!$F:$F,MATCH(CP$1,Items!$A:$A,0))</f>
        <v>Today: Architecture &amp; design</v>
      </c>
      <c r="CQ6" t="str">
        <f>INDEX(Items!$F:$F,MATCH(CQ$1,Items!$A:$A,0))</f>
        <v>Today: Writing production code</v>
      </c>
      <c r="CR6" t="str">
        <f>INDEX(Items!$F:$F,MATCH(CR$1,Items!$A:$A,0))</f>
        <v>Today: Writing tests</v>
      </c>
      <c r="CS6" t="str">
        <f>INDEX(Items!$F:$F,MATCH(CS$1,Items!$A:$A,0))</f>
        <v>Today: Code review</v>
      </c>
      <c r="CT6" t="str">
        <f>INDEX(Items!$F:$F,MATCH(CT$1,Items!$A:$A,0))</f>
        <v>Today: Debugging</v>
      </c>
      <c r="CU6" t="str">
        <f>INDEX(Items!$F:$F,MATCH(CU$1,Items!$A:$A,0))</f>
        <v>Today: Documentation</v>
      </c>
      <c r="CV6" t="str">
        <f>INDEX(Items!$F:$F,MATCH(CV$1,Items!$A:$A,0))</f>
        <v>Today: Refactoring &amp; legacy migration</v>
      </c>
      <c r="CW6" t="str">
        <f>INDEX(Items!$F:$F,MATCH(CW$1,Items!$A:$A,0))</f>
        <v>Today: CI/CD &amp; build configuration</v>
      </c>
      <c r="CX6" t="str">
        <f>INDEX(Items!$F:$F,MATCH(CX$1,Items!$A:$A,0))</f>
        <v>Today: Infrastructure-as-code</v>
      </c>
      <c r="CY6" t="str">
        <f>INDEX(Items!$F:$F,MATCH(CY$1,Items!$A:$A,0))</f>
        <v>Today: Incident response &amp; on-call</v>
      </c>
      <c r="CZ6" t="str">
        <f>INDEX(Items!$F:$F,MATCH(CZ$1,Items!$A:$A,0))</f>
        <v>Today: Monitoring &amp; alerting</v>
      </c>
      <c r="DA6" t="str">
        <f>INDEX(Items!$F:$F,MATCH(DA$1,Items!$A:$A,0))</f>
        <v>Today: SQL &amp; data migrations</v>
      </c>
      <c r="DB6" t="str">
        <f>INDEX(Items!$F:$F,MATCH(DB$1,Items!$A:$A,0))</f>
        <v>Today: Security review &amp; threat modeling</v>
      </c>
      <c r="DC6" t="str">
        <f>INDEX(Items!$F:$F,MATCH(DC$1,Items!$A:$A,0))</f>
        <v>Today: Dependency upgrades</v>
      </c>
      <c r="DD6" t="str">
        <f>INDEX(Items!$F:$F,MATCH(DD$1,Items!$A:$A,0))</f>
        <v>Today: Estimates &amp; planning</v>
      </c>
      <c r="DE6" t="str">
        <f>INDEX(Items!$F:$F,MATCH(DE$1,Items!$A:$A,0))</f>
        <v>Today: Stakeholder comms &amp; PR descriptions</v>
      </c>
      <c r="DF6" t="str">
        <f>INDEX(Items!$F:$F,MATCH(DF$1,Items!$A:$A,0))</f>
        <v>Today: Learning new tech</v>
      </c>
      <c r="DG6" t="str">
        <f>INDEX(Items!$F:$F,MATCH(DG$1,Items!$A:$A,0))</f>
        <v>Today: Meeting notes &amp; summaries</v>
      </c>
      <c r="DH6" t="str">
        <f>INDEX(Items!$F:$F,MATCH(DH$1,Items!$A:$A,0))</f>
        <v>Me in 6 months: Requirements &amp; ideation</v>
      </c>
      <c r="DI6" t="str">
        <f>INDEX(Items!$F:$F,MATCH(DI$1,Items!$A:$A,0))</f>
        <v>Me in 6 months: Architecture &amp; design</v>
      </c>
      <c r="DJ6" t="str">
        <f>INDEX(Items!$F:$F,MATCH(DJ$1,Items!$A:$A,0))</f>
        <v>Me in 6 months: Writing production code</v>
      </c>
      <c r="DK6" t="str">
        <f>INDEX(Items!$F:$F,MATCH(DK$1,Items!$A:$A,0))</f>
        <v>Me in 6 months: Writing tests</v>
      </c>
      <c r="DL6" t="str">
        <f>INDEX(Items!$F:$F,MATCH(DL$1,Items!$A:$A,0))</f>
        <v>Me in 6 months: Code review</v>
      </c>
      <c r="DM6" t="str">
        <f>INDEX(Items!$F:$F,MATCH(DM$1,Items!$A:$A,0))</f>
        <v>Me in 6 months: Debugging</v>
      </c>
      <c r="DN6" t="str">
        <f>INDEX(Items!$F:$F,MATCH(DN$1,Items!$A:$A,0))</f>
        <v>Me in 6 months: Documentation</v>
      </c>
      <c r="DO6" t="str">
        <f>INDEX(Items!$F:$F,MATCH(DO$1,Items!$A:$A,0))</f>
        <v>Me in 6 months: Refactoring &amp; legacy migration</v>
      </c>
      <c r="DP6" t="str">
        <f>INDEX(Items!$F:$F,MATCH(DP$1,Items!$A:$A,0))</f>
        <v>Me in 6 months: CI/CD &amp; build configuration</v>
      </c>
      <c r="DQ6" t="str">
        <f>INDEX(Items!$F:$F,MATCH(DQ$1,Items!$A:$A,0))</f>
        <v>Me in 6 months: Infrastructure-as-code</v>
      </c>
      <c r="DR6" t="str">
        <f>INDEX(Items!$F:$F,MATCH(DR$1,Items!$A:$A,0))</f>
        <v>Me in 6 months: Incident response &amp; on-call</v>
      </c>
      <c r="DS6" t="str">
        <f>INDEX(Items!$F:$F,MATCH(DS$1,Items!$A:$A,0))</f>
        <v>Me in 6 months: Monitoring &amp; alerting</v>
      </c>
      <c r="DT6" t="str">
        <f>INDEX(Items!$F:$F,MATCH(DT$1,Items!$A:$A,0))</f>
        <v>Me in 6 months: SQL &amp; data migrations</v>
      </c>
      <c r="DU6" t="str">
        <f>INDEX(Items!$F:$F,MATCH(DU$1,Items!$A:$A,0))</f>
        <v>Me in 6 months: Security review &amp; threat modeling</v>
      </c>
      <c r="DV6" t="str">
        <f>INDEX(Items!$F:$F,MATCH(DV$1,Items!$A:$A,0))</f>
        <v>Me in 6 months: Dependency upgrades</v>
      </c>
      <c r="DW6" t="str">
        <f>INDEX(Items!$F:$F,MATCH(DW$1,Items!$A:$A,0))</f>
        <v>Me in 6 months: Estimates &amp; planning</v>
      </c>
      <c r="DX6" t="str">
        <f>INDEX(Items!$F:$F,MATCH(DX$1,Items!$A:$A,0))</f>
        <v>Me in 6 months: Stakeholder comms &amp; PR descriptions</v>
      </c>
      <c r="DY6" t="str">
        <f>INDEX(Items!$F:$F,MATCH(DY$1,Items!$A:$A,0))</f>
        <v>Me in 6 months: Learning new tech</v>
      </c>
      <c r="DZ6" t="str">
        <f>INDEX(Items!$F:$F,MATCH(DZ$1,Items!$A:$A,0))</f>
        <v>Me in 6 months: Meeting notes &amp; summaries</v>
      </c>
      <c r="EA6" t="str">
        <f>INDEX(Items!$F:$F,MATCH(EA$1,Items!$A:$A,0))</f>
        <v>Team in 6 months: Requirements &amp; ideation</v>
      </c>
      <c r="EB6" t="str">
        <f>INDEX(Items!$F:$F,MATCH(EB$1,Items!$A:$A,0))</f>
        <v>Team in 6 months: Architecture &amp; design</v>
      </c>
      <c r="EC6" t="str">
        <f>INDEX(Items!$F:$F,MATCH(EC$1,Items!$A:$A,0))</f>
        <v>Team in 6 months: Writing production code</v>
      </c>
      <c r="ED6" t="str">
        <f>INDEX(Items!$F:$F,MATCH(ED$1,Items!$A:$A,0))</f>
        <v>Team in 6 months: Writing tests</v>
      </c>
      <c r="EE6" t="str">
        <f>INDEX(Items!$F:$F,MATCH(EE$1,Items!$A:$A,0))</f>
        <v>Team in 6 months: Code review</v>
      </c>
      <c r="EF6" t="str">
        <f>INDEX(Items!$F:$F,MATCH(EF$1,Items!$A:$A,0))</f>
        <v>Team in 6 months: Debugging</v>
      </c>
      <c r="EG6" t="str">
        <f>INDEX(Items!$F:$F,MATCH(EG$1,Items!$A:$A,0))</f>
        <v>Team in 6 months: Documentation</v>
      </c>
      <c r="EH6" t="str">
        <f>INDEX(Items!$F:$F,MATCH(EH$1,Items!$A:$A,0))</f>
        <v>Team in 6 months: Refactoring &amp; legacy migration</v>
      </c>
      <c r="EI6" t="str">
        <f>INDEX(Items!$F:$F,MATCH(EI$1,Items!$A:$A,0))</f>
        <v>Team in 6 months: CI/CD &amp; build configuration</v>
      </c>
      <c r="EJ6" t="str">
        <f>INDEX(Items!$F:$F,MATCH(EJ$1,Items!$A:$A,0))</f>
        <v>Team in 6 months: Infrastructure-as-code</v>
      </c>
      <c r="EK6" t="str">
        <f>INDEX(Items!$F:$F,MATCH(EK$1,Items!$A:$A,0))</f>
        <v>Team in 6 months: Incident response &amp; on-call</v>
      </c>
      <c r="EL6" t="str">
        <f>INDEX(Items!$F:$F,MATCH(EL$1,Items!$A:$A,0))</f>
        <v>Team in 6 months: Monitoring &amp; alerting</v>
      </c>
      <c r="EM6" t="str">
        <f>INDEX(Items!$F:$F,MATCH(EM$1,Items!$A:$A,0))</f>
        <v>Team in 6 months: SQL &amp; data migrations</v>
      </c>
      <c r="EN6" t="str">
        <f>INDEX(Items!$F:$F,MATCH(EN$1,Items!$A:$A,0))</f>
        <v>Team in 6 months: Security review &amp; threat modeling</v>
      </c>
      <c r="EO6" t="str">
        <f>INDEX(Items!$F:$F,MATCH(EO$1,Items!$A:$A,0))</f>
        <v>Team in 6 months: Dependency upgrades</v>
      </c>
      <c r="EP6" t="str">
        <f>INDEX(Items!$F:$F,MATCH(EP$1,Items!$A:$A,0))</f>
        <v>Team in 6 months: Estimates &amp; planning</v>
      </c>
      <c r="EQ6" t="str">
        <f>INDEX(Items!$F:$F,MATCH(EQ$1,Items!$A:$A,0))</f>
        <v>Team in 6 months: Stakeholder comms &amp; PR descriptions</v>
      </c>
      <c r="ER6" t="str">
        <f>INDEX(Items!$F:$F,MATCH(ER$1,Items!$A:$A,0))</f>
        <v>Team in 6 months: Learning new tech</v>
      </c>
      <c r="ES6" t="str">
        <f>INDEX(Items!$F:$F,MATCH(ES$1,Items!$A:$A,0))</f>
        <v>Team in 6 months: Meeting notes &amp; summaries</v>
      </c>
      <c r="ET6" t="str">
        <f>INDEX(Items!$F:$F,MATCH(ET$1,Items!$A:$A,0))</f>
        <v>Which of these, if any, do you accept today instead of reading AI's output yourself?</v>
      </c>
      <c r="EU6" t="str">
        <f>INDEX(Items!$F:$F,MATCH(EU$1,Items!$A:$A,0))</f>
        <v>Which of these, if any, do you accept today instead of reading AI's output yourself?</v>
      </c>
      <c r="EV6" t="str">
        <f>INDEX(Items!$F:$F,MATCH(EV$1,Items!$A:$A,0))</f>
        <v>Which of these, if any, do you accept today instead of reading AI's output yourself?</v>
      </c>
      <c r="EW6" t="str">
        <f>INDEX(Items!$F:$F,MATCH(EW$1,Items!$A:$A,0))</f>
        <v>Which of these, if any, do you accept today instead of reading AI's output yourself?</v>
      </c>
      <c r="EX6" t="str">
        <f>INDEX(Items!$F:$F,MATCH(EX$1,Items!$A:$A,0))</f>
        <v>Which of these, if any, do you accept today instead of reading AI's output yourself?</v>
      </c>
      <c r="EY6" t="str">
        <f>INDEX(Items!$F:$F,MATCH(EY$1,Items!$A:$A,0))</f>
        <v>Which of these, if any, do you accept today instead of reading AI's output yourself?</v>
      </c>
      <c r="EZ6" t="str">
        <f>INDEX(Items!$F:$F,MATCH(EZ$1,Items!$A:$A,0))</f>
        <v>Which of these, if any, do you accept today instead of reading AI's output yourself?</v>
      </c>
      <c r="FA6" t="str">
        <f>INDEX(Items!$F:$F,MATCH(FA$1,Items!$A:$A,0))</f>
        <v>In six months, which of these would you accept instead of reading AI's output yourself?</v>
      </c>
      <c r="FB6" t="str">
        <f>INDEX(Items!$F:$F,MATCH(FB$1,Items!$A:$A,0))</f>
        <v>In six months, which of these would you accept instead of reading AI's output yourself?</v>
      </c>
      <c r="FC6" t="str">
        <f>INDEX(Items!$F:$F,MATCH(FC$1,Items!$A:$A,0))</f>
        <v>In six months, which of these would you accept instead of reading AI's output yourself?</v>
      </c>
      <c r="FD6" t="str">
        <f>INDEX(Items!$F:$F,MATCH(FD$1,Items!$A:$A,0))</f>
        <v>In six months, which of these would you accept instead of reading AI's output yourself?</v>
      </c>
      <c r="FE6" t="str">
        <f>INDEX(Items!$F:$F,MATCH(FE$1,Items!$A:$A,0))</f>
        <v>In six months, which of these would you accept instead of reading AI's output yourself?</v>
      </c>
      <c r="FF6" t="str">
        <f>INDEX(Items!$F:$F,MATCH(FF$1,Items!$A:$A,0))</f>
        <v>In six months, which of these would you accept instead of reading AI's output yourself?</v>
      </c>
      <c r="FG6" t="str">
        <f>INDEX(Items!$F:$F,MATCH(FG$1,Items!$A:$A,0))</f>
        <v>In six months, which of these would you accept instead of reading AI's output yourself?</v>
      </c>
      <c r="FH6" t="str">
        <f>INDEX(Items!$F:$F,MATCH(FH$1,Items!$A:$A,0))</f>
        <v>In six months, which of these should the team accept as enough, without an individual reading the output?</v>
      </c>
      <c r="FI6" t="str">
        <f>INDEX(Items!$F:$F,MATCH(FI$1,Items!$A:$A,0))</f>
        <v>In six months, which of these should the team accept as enough, without an individual reading the output?</v>
      </c>
      <c r="FJ6" t="str">
        <f>INDEX(Items!$F:$F,MATCH(FJ$1,Items!$A:$A,0))</f>
        <v>In six months, which of these should the team accept as enough, without an individual reading the output?</v>
      </c>
      <c r="FK6" t="str">
        <f>INDEX(Items!$F:$F,MATCH(FK$1,Items!$A:$A,0))</f>
        <v>In six months, which of these should the team accept as enough, without an individual reading the output?</v>
      </c>
      <c r="FL6" t="str">
        <f>INDEX(Items!$F:$F,MATCH(FL$1,Items!$A:$A,0))</f>
        <v>In six months, which of these should the team accept as enough, without an individual reading the output?</v>
      </c>
      <c r="FM6" t="str">
        <f>INDEX(Items!$F:$F,MATCH(FM$1,Items!$A:$A,0))</f>
        <v>In six months, which of these should the team accept as enough, without an individual reading the output?</v>
      </c>
      <c r="FN6" t="str">
        <f>INDEX(Items!$F:$F,MATCH(FN$1,Items!$A:$A,0))</f>
        <v>In six months, which of these should the team accept as enough, without an individual reading the output?</v>
      </c>
      <c r="FO6" t="str">
        <f>INDEX(Items!$F:$F,MATCH(FO$1,Items!$A:$A,0))</f>
        <v>Which of these would you want to know more about?</v>
      </c>
      <c r="FP6" t="str">
        <f>INDEX(Items!$F:$F,MATCH(FP$1,Items!$A:$A,0))</f>
        <v>Which of these would you want to know more about?</v>
      </c>
      <c r="FQ6" t="str">
        <f>INDEX(Items!$F:$F,MATCH(FQ$1,Items!$A:$A,0))</f>
        <v>Which of these would you want to know more about?</v>
      </c>
      <c r="FR6" t="str">
        <f>INDEX(Items!$F:$F,MATCH(FR$1,Items!$A:$A,0))</f>
        <v>Which of these would you want to know more about?</v>
      </c>
      <c r="FS6" t="str">
        <f>INDEX(Items!$F:$F,MATCH(FS$1,Items!$A:$A,0))</f>
        <v>Which of these would you want to know more about?</v>
      </c>
      <c r="FT6" t="str">
        <f>INDEX(Items!$F:$F,MATCH(FT$1,Items!$A:$A,0))</f>
        <v>Which of these would you want to know more about?</v>
      </c>
      <c r="FU6" t="str">
        <f>INDEX(Items!$F:$F,MATCH(FU$1,Items!$A:$A,0))</f>
        <v>Which of these would you want to know more about?</v>
      </c>
    </row>
    <row r="7" spans="1:177" x14ac:dyDescent="0.45">
      <c r="A7" t="str">
        <f>Responses!$D$2</f>
        <v>Maya Okafor</v>
      </c>
      <c r="B7">
        <f>IF(INDEX(Responses!$A$2:$ZZ$2,1,MATCH(B$6,Responses!$1:$1,0))&amp;""="","",IF(LEFT(INDEX(Responses!$A$2:$ZZ$2,1,MATCH(B$6,Responses!$1:$1,0)),1)="N","NA",VALUE(LEFT(INDEX(Responses!$A$2:$ZZ$2,1,MATCH(B$6,Responses!$1:$1,0)),1))))</f>
        <v>4</v>
      </c>
      <c r="C7">
        <f>IF(INDEX(Responses!$A$2:$ZZ$2,1,MATCH(C$6,Responses!$1:$1,0))&amp;""="","",IF(LEFT(INDEX(Responses!$A$2:$ZZ$2,1,MATCH(C$6,Responses!$1:$1,0)),1)="N","NA",VALUE(LEFT(INDEX(Responses!$A$2:$ZZ$2,1,MATCH(C$6,Responses!$1:$1,0)),1))))</f>
        <v>2</v>
      </c>
      <c r="D7">
        <f>IF(INDEX(Responses!$A$2:$ZZ$2,1,MATCH(D$6,Responses!$1:$1,0))&amp;""="","",IF(LEFT(INDEX(Responses!$A$2:$ZZ$2,1,MATCH(D$6,Responses!$1:$1,0)),1)="N","NA",VALUE(LEFT(INDEX(Responses!$A$2:$ZZ$2,1,MATCH(D$6,Responses!$1:$1,0)),1))))</f>
        <v>3</v>
      </c>
      <c r="E7">
        <f>IF(INDEX(Responses!$A$2:$ZZ$2,1,MATCH(E$6,Responses!$1:$1,0))&amp;""="","",IF(LEFT(INDEX(Responses!$A$2:$ZZ$2,1,MATCH(E$6,Responses!$1:$1,0)),1)="N","NA",VALUE(LEFT(INDEX(Responses!$A$2:$ZZ$2,1,MATCH(E$6,Responses!$1:$1,0)),1))))</f>
        <v>4</v>
      </c>
      <c r="F7">
        <f>IF(INDEX(Responses!$A$2:$ZZ$2,1,MATCH(F$6,Responses!$1:$1,0))&amp;""="","",IF(LEFT(INDEX(Responses!$A$2:$ZZ$2,1,MATCH(F$6,Responses!$1:$1,0)),1)="N","NA",VALUE(LEFT(INDEX(Responses!$A$2:$ZZ$2,1,MATCH(F$6,Responses!$1:$1,0)),1))))</f>
        <v>4</v>
      </c>
      <c r="G7">
        <f>IF(INDEX(Responses!$A$2:$ZZ$2,1,MATCH(G$6,Responses!$1:$1,0))&amp;""="","",IF(LEFT(INDEX(Responses!$A$2:$ZZ$2,1,MATCH(G$6,Responses!$1:$1,0)),1)="N","NA",VALUE(LEFT(INDEX(Responses!$A$2:$ZZ$2,1,MATCH(G$6,Responses!$1:$1,0)),1))))</f>
        <v>4</v>
      </c>
      <c r="H7">
        <f>IF(INDEX(Responses!$A$2:$ZZ$2,1,MATCH(H$6,Responses!$1:$1,0))&amp;""="","",IF(LEFT(INDEX(Responses!$A$2:$ZZ$2,1,MATCH(H$6,Responses!$1:$1,0)),1)="N","NA",VALUE(LEFT(INDEX(Responses!$A$2:$ZZ$2,1,MATCH(H$6,Responses!$1:$1,0)),1))))</f>
        <v>1</v>
      </c>
      <c r="I7">
        <f>IF(INDEX(Responses!$A$2:$ZZ$2,1,MATCH(I$6,Responses!$1:$1,0))&amp;""="","",IF(LEFT(INDEX(Responses!$A$2:$ZZ$2,1,MATCH(I$6,Responses!$1:$1,0)),1)="N","NA",VALUE(LEFT(INDEX(Responses!$A$2:$ZZ$2,1,MATCH(I$6,Responses!$1:$1,0)),1))))</f>
        <v>2</v>
      </c>
      <c r="J7">
        <f>IF(INDEX(Responses!$A$2:$ZZ$2,1,MATCH(J$6,Responses!$1:$1,0))&amp;""="","",IF(LEFT(INDEX(Responses!$A$2:$ZZ$2,1,MATCH(J$6,Responses!$1:$1,0)),1)="N","NA",VALUE(LEFT(INDEX(Responses!$A$2:$ZZ$2,1,MATCH(J$6,Responses!$1:$1,0)),1))))</f>
        <v>3</v>
      </c>
      <c r="K7">
        <f>IF(INDEX(Responses!$A$2:$ZZ$2,1,MATCH(K$6,Responses!$1:$1,0))&amp;""="","",IF(LEFT(INDEX(Responses!$A$2:$ZZ$2,1,MATCH(K$6,Responses!$1:$1,0)),1)="N","NA",VALUE(LEFT(INDEX(Responses!$A$2:$ZZ$2,1,MATCH(K$6,Responses!$1:$1,0)),1))))</f>
        <v>1</v>
      </c>
      <c r="L7">
        <f>IF(INDEX(Responses!$A$2:$ZZ$2,1,MATCH(L$6,Responses!$1:$1,0))&amp;""="","",IF(LEFT(INDEX(Responses!$A$2:$ZZ$2,1,MATCH(L$6,Responses!$1:$1,0)),1)="N","NA",VALUE(LEFT(INDEX(Responses!$A$2:$ZZ$2,1,MATCH(L$6,Responses!$1:$1,0)),1))))</f>
        <v>1</v>
      </c>
      <c r="M7">
        <f>IF(INDEX(Responses!$A$2:$ZZ$2,1,MATCH(M$6,Responses!$1:$1,0))&amp;""="","",IF(LEFT(INDEX(Responses!$A$2:$ZZ$2,1,MATCH(M$6,Responses!$1:$1,0)),1)="N","NA",VALUE(LEFT(INDEX(Responses!$A$2:$ZZ$2,1,MATCH(M$6,Responses!$1:$1,0)),1))))</f>
        <v>2</v>
      </c>
      <c r="N7">
        <f>IF(INDEX(Responses!$A$2:$ZZ$2,1,MATCH(N$6,Responses!$1:$1,0))&amp;""="","",IF(LEFT(INDEX(Responses!$A$2:$ZZ$2,1,MATCH(N$6,Responses!$1:$1,0)),1)="N","NA",VALUE(LEFT(INDEX(Responses!$A$2:$ZZ$2,1,MATCH(N$6,Responses!$1:$1,0)),1))))</f>
        <v>2</v>
      </c>
      <c r="O7">
        <f>IF(INDEX(Responses!$A$2:$ZZ$2,1,MATCH(O$6,Responses!$1:$1,0))&amp;""="","",IF(LEFT(INDEX(Responses!$A$2:$ZZ$2,1,MATCH(O$6,Responses!$1:$1,0)),1)="N","NA",VALUE(LEFT(INDEX(Responses!$A$2:$ZZ$2,1,MATCH(O$6,Responses!$1:$1,0)),1))))</f>
        <v>1</v>
      </c>
      <c r="P7">
        <f>IF(INDEX(Responses!$A$2:$ZZ$2,1,MATCH(P$6,Responses!$1:$1,0))&amp;""="","",IF(LEFT(INDEX(Responses!$A$2:$ZZ$2,1,MATCH(P$6,Responses!$1:$1,0)),1)="N","NA",VALUE(LEFT(INDEX(Responses!$A$2:$ZZ$2,1,MATCH(P$6,Responses!$1:$1,0)),1))))</f>
        <v>3</v>
      </c>
      <c r="Q7">
        <f>IF(INDEX(Responses!$A$2:$ZZ$2,1,MATCH(Q$6,Responses!$1:$1,0))&amp;""="","",IF(LEFT(INDEX(Responses!$A$2:$ZZ$2,1,MATCH(Q$6,Responses!$1:$1,0)),1)="N","NA",VALUE(LEFT(INDEX(Responses!$A$2:$ZZ$2,1,MATCH(Q$6,Responses!$1:$1,0)),1))))</f>
        <v>2</v>
      </c>
      <c r="R7">
        <f>IF(INDEX(Responses!$A$2:$ZZ$2,1,MATCH(R$6,Responses!$1:$1,0))&amp;""="","",IF(LEFT(INDEX(Responses!$A$2:$ZZ$2,1,MATCH(R$6,Responses!$1:$1,0)),1)="N","NA",VALUE(LEFT(INDEX(Responses!$A$2:$ZZ$2,1,MATCH(R$6,Responses!$1:$1,0)),1))))</f>
        <v>5</v>
      </c>
      <c r="S7">
        <f>IF(INDEX(Responses!$A$2:$ZZ$2,1,MATCH(S$6,Responses!$1:$1,0))&amp;""="","",IF(LEFT(INDEX(Responses!$A$2:$ZZ$2,1,MATCH(S$6,Responses!$1:$1,0)),1)="N","NA",VALUE(LEFT(INDEX(Responses!$A$2:$ZZ$2,1,MATCH(S$6,Responses!$1:$1,0)),1))))</f>
        <v>4</v>
      </c>
      <c r="T7">
        <f>IF(INDEX(Responses!$A$2:$ZZ$2,1,MATCH(T$6,Responses!$1:$1,0))&amp;""="","",IF(LEFT(INDEX(Responses!$A$2:$ZZ$2,1,MATCH(T$6,Responses!$1:$1,0)),1)="N","NA",VALUE(LEFT(INDEX(Responses!$A$2:$ZZ$2,1,MATCH(T$6,Responses!$1:$1,0)),1))))</f>
        <v>1</v>
      </c>
      <c r="U7">
        <f>IF(INDEX(Responses!$A$2:$ZZ$2,1,MATCH(U$6,Responses!$1:$1,0))&amp;""="","",IF(LEFT(INDEX(Responses!$A$2:$ZZ$2,1,MATCH(U$6,Responses!$1:$1,0)),1)="N","NA",VALUE(LEFT(INDEX(Responses!$A$2:$ZZ$2,1,MATCH(U$6,Responses!$1:$1,0)),1))))</f>
        <v>1</v>
      </c>
      <c r="V7">
        <f>IF(INDEX(Responses!$A$2:$ZZ$2,1,MATCH(V$6,Responses!$1:$1,0))&amp;""="","",IF(LEFT(INDEX(Responses!$A$2:$ZZ$2,1,MATCH(V$6,Responses!$1:$1,0)),1)="N","NA",VALUE(LEFT(INDEX(Responses!$A$2:$ZZ$2,1,MATCH(V$6,Responses!$1:$1,0)),1))))</f>
        <v>3</v>
      </c>
      <c r="W7">
        <f>IF(INDEX(Responses!$A$2:$ZZ$2,1,MATCH(W$6,Responses!$1:$1,0))&amp;""="","",IF(LEFT(INDEX(Responses!$A$2:$ZZ$2,1,MATCH(W$6,Responses!$1:$1,0)),1)="N","NA",VALUE(LEFT(INDEX(Responses!$A$2:$ZZ$2,1,MATCH(W$6,Responses!$1:$1,0)),1))))</f>
        <v>4</v>
      </c>
      <c r="X7">
        <f>IF(INDEX(Responses!$A$2:$ZZ$2,1,MATCH(X$6,Responses!$1:$1,0))&amp;""="","",IF(LEFT(INDEX(Responses!$A$2:$ZZ$2,1,MATCH(X$6,Responses!$1:$1,0)),1)="N","NA",VALUE(LEFT(INDEX(Responses!$A$2:$ZZ$2,1,MATCH(X$6,Responses!$1:$1,0)),1))))</f>
        <v>5</v>
      </c>
      <c r="Y7">
        <f>IF(INDEX(Responses!$A$2:$ZZ$2,1,MATCH(Y$6,Responses!$1:$1,0))&amp;""="","",IF(LEFT(INDEX(Responses!$A$2:$ZZ$2,1,MATCH(Y$6,Responses!$1:$1,0)),1)="N","NA",VALUE(LEFT(INDEX(Responses!$A$2:$ZZ$2,1,MATCH(Y$6,Responses!$1:$1,0)),1))))</f>
        <v>5</v>
      </c>
      <c r="Z7">
        <f>IF(INDEX(Responses!$A$2:$ZZ$2,1,MATCH(Z$6,Responses!$1:$1,0))&amp;""="","",IF(LEFT(INDEX(Responses!$A$2:$ZZ$2,1,MATCH(Z$6,Responses!$1:$1,0)),1)="N","NA",VALUE(LEFT(INDEX(Responses!$A$2:$ZZ$2,1,MATCH(Z$6,Responses!$1:$1,0)),1))))</f>
        <v>4</v>
      </c>
      <c r="AA7">
        <f>IF(INDEX(Responses!$A$2:$ZZ$2,1,MATCH(AA$6,Responses!$1:$1,0))&amp;""="","",IF(LEFT(INDEX(Responses!$A$2:$ZZ$2,1,MATCH(AA$6,Responses!$1:$1,0)),1)="N","NA",VALUE(LEFT(INDEX(Responses!$A$2:$ZZ$2,1,MATCH(AA$6,Responses!$1:$1,0)),1))))</f>
        <v>2</v>
      </c>
      <c r="AB7">
        <f>IF(INDEX(Responses!$A$2:$ZZ$2,1,MATCH(AB$6,Responses!$1:$1,0))&amp;""="","",IF(LEFT(INDEX(Responses!$A$2:$ZZ$2,1,MATCH(AB$6,Responses!$1:$1,0)),1)="N","NA",VALUE(LEFT(INDEX(Responses!$A$2:$ZZ$2,1,MATCH(AB$6,Responses!$1:$1,0)),1))))</f>
        <v>2</v>
      </c>
      <c r="AC7">
        <f>IF(INDEX(Responses!$A$2:$ZZ$2,1,MATCH(AC$6,Responses!$1:$1,0))&amp;""="","",IF(LEFT(INDEX(Responses!$A$2:$ZZ$2,1,MATCH(AC$6,Responses!$1:$1,0)),1)="N","NA",VALUE(LEFT(INDEX(Responses!$A$2:$ZZ$2,1,MATCH(AC$6,Responses!$1:$1,0)),1))))</f>
        <v>5</v>
      </c>
      <c r="AD7">
        <f>IF(INDEX(Responses!$A$2:$ZZ$2,1,MATCH(AD$6,Responses!$1:$1,0))&amp;""="","",IF(LEFT(INDEX(Responses!$A$2:$ZZ$2,1,MATCH(AD$6,Responses!$1:$1,0)),1)="N","NA",VALUE(LEFT(INDEX(Responses!$A$2:$ZZ$2,1,MATCH(AD$6,Responses!$1:$1,0)),1))))</f>
        <v>4</v>
      </c>
      <c r="AE7">
        <f>IF(INDEX(Responses!$A$2:$ZZ$2,1,MATCH(AE$6,Responses!$1:$1,0))&amp;""="","",IF(LEFT(INDEX(Responses!$A$2:$ZZ$2,1,MATCH(AE$6,Responses!$1:$1,0)),1)="N","NA",VALUE(LEFT(INDEX(Responses!$A$2:$ZZ$2,1,MATCH(AE$6,Responses!$1:$1,0)),1))))</f>
        <v>5</v>
      </c>
      <c r="AF7">
        <f>IF(INDEX(Responses!$A$2:$ZZ$2,1,MATCH(AF$6,Responses!$1:$1,0))&amp;""="","",IF(LEFT(INDEX(Responses!$A$2:$ZZ$2,1,MATCH(AF$6,Responses!$1:$1,0)),1)="N","NA",VALUE(LEFT(INDEX(Responses!$A$2:$ZZ$2,1,MATCH(AF$6,Responses!$1:$1,0)),1))))</f>
        <v>2</v>
      </c>
      <c r="AG7">
        <f>IF(INDEX(Responses!$A$2:$ZZ$2,1,MATCH(AG$6,Responses!$1:$1,0))&amp;""="","",IF(LEFT(INDEX(Responses!$A$2:$ZZ$2,1,MATCH(AG$6,Responses!$1:$1,0)),1)="N","NA",VALUE(LEFT(INDEX(Responses!$A$2:$ZZ$2,1,MATCH(AG$6,Responses!$1:$1,0)),1))))</f>
        <v>4</v>
      </c>
      <c r="AH7">
        <f>IF(INDEX(Responses!$A$2:$ZZ$2,1,MATCH(AH$6,Responses!$1:$1,0))&amp;""="","",IF(LEFT(INDEX(Responses!$A$2:$ZZ$2,1,MATCH(AH$6,Responses!$1:$1,0)),1)="N","NA",VALUE(LEFT(INDEX(Responses!$A$2:$ZZ$2,1,MATCH(AH$6,Responses!$1:$1,0)),1))))</f>
        <v>5</v>
      </c>
      <c r="AI7">
        <f>IF(INDEX(Responses!$A$2:$ZZ$2,1,MATCH(AI$6,Responses!$1:$1,0))&amp;""="","",IF(LEFT(INDEX(Responses!$A$2:$ZZ$2,1,MATCH(AI$6,Responses!$1:$1,0)),1)="N","NA",VALUE(LEFT(INDEX(Responses!$A$2:$ZZ$2,1,MATCH(AI$6,Responses!$1:$1,0)),1))))</f>
        <v>2</v>
      </c>
      <c r="AJ7">
        <f>IF(INDEX(Responses!$A$2:$ZZ$2,1,MATCH(AJ$6,Responses!$1:$1,0))&amp;""="","",IF(LEFT(INDEX(Responses!$A$2:$ZZ$2,1,MATCH(AJ$6,Responses!$1:$1,0)),1)="N","NA",VALUE(LEFT(INDEX(Responses!$A$2:$ZZ$2,1,MATCH(AJ$6,Responses!$1:$1,0)),1))))</f>
        <v>1</v>
      </c>
      <c r="AK7">
        <f>IF(INDEX(Responses!$A$2:$ZZ$2,1,MATCH(AK$6,Responses!$1:$1,0))&amp;""="","",IF(LEFT(INDEX(Responses!$A$2:$ZZ$2,1,MATCH(AK$6,Responses!$1:$1,0)),1)="N","NA",VALUE(LEFT(INDEX(Responses!$A$2:$ZZ$2,1,MATCH(AK$6,Responses!$1:$1,0)),1))))</f>
        <v>5</v>
      </c>
      <c r="AL7">
        <f>IF(INDEX(Responses!$A$2:$ZZ$2,1,MATCH(AL$6,Responses!$1:$1,0))&amp;""="","",IF(LEFT(INDEX(Responses!$A$2:$ZZ$2,1,MATCH(AL$6,Responses!$1:$1,0)),1)="N","NA",VALUE(LEFT(INDEX(Responses!$A$2:$ZZ$2,1,MATCH(AL$6,Responses!$1:$1,0)),1))))</f>
        <v>3</v>
      </c>
      <c r="AM7">
        <f>IF(INDEX(Responses!$A$2:$ZZ$2,1,MATCH(AM$6,Responses!$1:$1,0))&amp;""="","",IF(LEFT(INDEX(Responses!$A$2:$ZZ$2,1,MATCH(AM$6,Responses!$1:$1,0)),1)="N","NA",VALUE(LEFT(INDEX(Responses!$A$2:$ZZ$2,1,MATCH(AM$6,Responses!$1:$1,0)),1))))</f>
        <v>4</v>
      </c>
      <c r="AN7">
        <f>IF(INDEX(Responses!$A$2:$ZZ$2,1,MATCH(AN$6,Responses!$1:$1,0))&amp;""="","",IF(LEFT(INDEX(Responses!$A$2:$ZZ$2,1,MATCH(AN$6,Responses!$1:$1,0)),1)="N","NA",VALUE(LEFT(INDEX(Responses!$A$2:$ZZ$2,1,MATCH(AN$6,Responses!$1:$1,0)),1))))</f>
        <v>5</v>
      </c>
      <c r="AO7">
        <f>IF(INDEX(Responses!$A$2:$ZZ$2,1,MATCH(AO$6,Responses!$1:$1,0))&amp;""="","",IF(LEFT(INDEX(Responses!$A$2:$ZZ$2,1,MATCH(AO$6,Responses!$1:$1,0)),1)="N","NA",VALUE(LEFT(INDEX(Responses!$A$2:$ZZ$2,1,MATCH(AO$6,Responses!$1:$1,0)),1))))</f>
        <v>4</v>
      </c>
      <c r="AP7">
        <f>IF(INDEX(Responses!$A$2:$ZZ$2,1,MATCH(AP$6,Responses!$1:$1,0))&amp;""="","",IF(LEFT(INDEX(Responses!$A$2:$ZZ$2,1,MATCH(AP$6,Responses!$1:$1,0)),1)="N","NA",VALUE(LEFT(INDEX(Responses!$A$2:$ZZ$2,1,MATCH(AP$6,Responses!$1:$1,0)),1))))</f>
        <v>3</v>
      </c>
      <c r="AQ7">
        <f>IF(INDEX(Responses!$A$2:$ZZ$2,1,MATCH(AQ$6,Responses!$1:$1,0))&amp;""="","",IF(LEFT(INDEX(Responses!$A$2:$ZZ$2,1,MATCH(AQ$6,Responses!$1:$1,0)),1)="N","NA",VALUE(LEFT(INDEX(Responses!$A$2:$ZZ$2,1,MATCH(AQ$6,Responses!$1:$1,0)),1))))</f>
        <v>2</v>
      </c>
      <c r="AR7">
        <f>IF(INDEX(Responses!$A$2:$ZZ$2,1,MATCH(AR$6,Responses!$1:$1,0))&amp;""="","",IF(LEFT(INDEX(Responses!$A$2:$ZZ$2,1,MATCH(AR$6,Responses!$1:$1,0)),1)="N","NA",VALUE(LEFT(INDEX(Responses!$A$2:$ZZ$2,1,MATCH(AR$6,Responses!$1:$1,0)),1))))</f>
        <v>1</v>
      </c>
      <c r="AS7">
        <f>IF(INDEX(Responses!$A$2:$ZZ$2,1,MATCH(AS$6,Responses!$1:$1,0))&amp;""="","",IF(LEFT(INDEX(Responses!$A$2:$ZZ$2,1,MATCH(AS$6,Responses!$1:$1,0)),1)="N","NA",VALUE(LEFT(INDEX(Responses!$A$2:$ZZ$2,1,MATCH(AS$6,Responses!$1:$1,0)),1))))</f>
        <v>1</v>
      </c>
      <c r="AT7">
        <f>IF(INDEX(Responses!$A$2:$ZZ$2,1,MATCH(AT$6,Responses!$1:$1,0))&amp;""="","",IF(LEFT(INDEX(Responses!$A$2:$ZZ$2,1,MATCH(AT$6,Responses!$1:$1,0)),1)="N","NA",VALUE(LEFT(INDEX(Responses!$A$2:$ZZ$2,1,MATCH(AT$6,Responses!$1:$1,0)),1))))</f>
        <v>3</v>
      </c>
      <c r="AU7">
        <f>IF(INDEX(Responses!$A$2:$ZZ$2,1,MATCH(AU$6,Responses!$1:$1,0))&amp;""="","",IF(LEFT(INDEX(Responses!$A$2:$ZZ$2,1,MATCH(AU$6,Responses!$1:$1,0)),1)="N","NA",VALUE(LEFT(INDEX(Responses!$A$2:$ZZ$2,1,MATCH(AU$6,Responses!$1:$1,0)),1))))</f>
        <v>1</v>
      </c>
      <c r="AV7">
        <f>IF(INDEX(Responses!$A$2:$ZZ$2,1,MATCH(AV$6,Responses!$1:$1,0))&amp;""="","",IF(LEFT(INDEX(Responses!$A$2:$ZZ$2,1,MATCH(AV$6,Responses!$1:$1,0)),1)="N","NA",VALUE(LEFT(INDEX(Responses!$A$2:$ZZ$2,1,MATCH(AV$6,Responses!$1:$1,0)),1))))</f>
        <v>5</v>
      </c>
      <c r="AW7">
        <f>IF(INDEX(Responses!$A$2:$ZZ$2,1,MATCH(AW$6,Responses!$1:$1,0))&amp;""="","",IF(LEFT(INDEX(Responses!$A$2:$ZZ$2,1,MATCH(AW$6,Responses!$1:$1,0)),1)="N","NA",VALUE(LEFT(INDEX(Responses!$A$2:$ZZ$2,1,MATCH(AW$6,Responses!$1:$1,0)),1))))</f>
        <v>2</v>
      </c>
      <c r="AX7">
        <f>IF(INDEX(Responses!$A$2:$ZZ$2,1,MATCH(AX$6,Responses!$1:$1,0))&amp;""="","",IF(LEFT(INDEX(Responses!$A$2:$ZZ$2,1,MATCH(AX$6,Responses!$1:$1,0)),1)="N","NA",VALUE(LEFT(INDEX(Responses!$A$2:$ZZ$2,1,MATCH(AX$6,Responses!$1:$1,0)),1))))</f>
        <v>2</v>
      </c>
      <c r="AY7">
        <f>IF(INDEX(Responses!$A$2:$ZZ$2,1,MATCH(AY$6,Responses!$1:$1,0))&amp;""="","",IF(LEFT(INDEX(Responses!$A$2:$ZZ$2,1,MATCH(AY$6,Responses!$1:$1,0)),1)="N","NA",VALUE(LEFT(INDEX(Responses!$A$2:$ZZ$2,1,MATCH(AY$6,Responses!$1:$1,0)),1))))</f>
        <v>4</v>
      </c>
      <c r="AZ7">
        <f>IF(INDEX(Responses!$A$2:$ZZ$2,1,MATCH(AZ$6,Responses!$1:$1,0))&amp;""="","",IF(LEFT(INDEX(Responses!$A$2:$ZZ$2,1,MATCH(AZ$6,Responses!$1:$1,0)),1)="N","NA",VALUE(LEFT(INDEX(Responses!$A$2:$ZZ$2,1,MATCH(AZ$6,Responses!$1:$1,0)),1))))</f>
        <v>3</v>
      </c>
      <c r="BA7">
        <f>IF(INDEX(Responses!$A$2:$ZZ$2,1,MATCH(BA$6,Responses!$1:$1,0))&amp;""="","",IF(LEFT(INDEX(Responses!$A$2:$ZZ$2,1,MATCH(BA$6,Responses!$1:$1,0)),1)="N","NA",VALUE(LEFT(INDEX(Responses!$A$2:$ZZ$2,1,MATCH(BA$6,Responses!$1:$1,0)),1))))</f>
        <v>4</v>
      </c>
      <c r="BB7">
        <f>IF(INDEX(Responses!$A$2:$ZZ$2,1,MATCH(BB$6,Responses!$1:$1,0))&amp;""="","",IF(LEFT(INDEX(Responses!$A$2:$ZZ$2,1,MATCH(BB$6,Responses!$1:$1,0)),1)="N","NA",VALUE(LEFT(INDEX(Responses!$A$2:$ZZ$2,1,MATCH(BB$6,Responses!$1:$1,0)),1))))</f>
        <v>1</v>
      </c>
      <c r="BC7">
        <f>IF(INDEX(Responses!$A$2:$ZZ$2,1,MATCH(BC$6,Responses!$1:$1,0))&amp;""="","",IF(LEFT(INDEX(Responses!$A$2:$ZZ$2,1,MATCH(BC$6,Responses!$1:$1,0)),1)="N","NA",VALUE(LEFT(INDEX(Responses!$A$2:$ZZ$2,1,MATCH(BC$6,Responses!$1:$1,0)),1))))</f>
        <v>5</v>
      </c>
      <c r="BD7">
        <f>IF(INDEX(Responses!$A$2:$ZZ$2,1,MATCH(BD$6,Responses!$1:$1,0))&amp;""="","",IF(LEFT(INDEX(Responses!$A$2:$ZZ$2,1,MATCH(BD$6,Responses!$1:$1,0)),1)="N","NA",VALUE(LEFT(INDEX(Responses!$A$2:$ZZ$2,1,MATCH(BD$6,Responses!$1:$1,0)),1))))</f>
        <v>5</v>
      </c>
      <c r="BE7">
        <f>IF(INDEX(Responses!$A$2:$ZZ$2,1,MATCH(BE$6,Responses!$1:$1,0))&amp;""="","",IF(LEFT(INDEX(Responses!$A$2:$ZZ$2,1,MATCH(BE$6,Responses!$1:$1,0)),1)="N","NA",VALUE(LEFT(INDEX(Responses!$A$2:$ZZ$2,1,MATCH(BE$6,Responses!$1:$1,0)),1))))</f>
        <v>2</v>
      </c>
      <c r="BF7">
        <f>IF(INDEX(Responses!$A$2:$ZZ$2,1,MATCH(BF$6,Responses!$1:$1,0))&amp;""="","",IF(LEFT(INDEX(Responses!$A$2:$ZZ$2,1,MATCH(BF$6,Responses!$1:$1,0)),1)="N","NA",VALUE(LEFT(INDEX(Responses!$A$2:$ZZ$2,1,MATCH(BF$6,Responses!$1:$1,0)),1))))</f>
        <v>2</v>
      </c>
      <c r="BG7">
        <f>IF(INDEX(Responses!$A$2:$ZZ$2,1,MATCH(BG$6,Responses!$1:$1,0))&amp;""="","",IF(LEFT(INDEX(Responses!$A$2:$ZZ$2,1,MATCH(BG$6,Responses!$1:$1,0)),1)="N","NA",VALUE(LEFT(INDEX(Responses!$A$2:$ZZ$2,1,MATCH(BG$6,Responses!$1:$1,0)),1))))</f>
        <v>2</v>
      </c>
      <c r="BH7">
        <f>IF(INDEX(Responses!$A$2:$ZZ$2,1,MATCH(BH$6,Responses!$1:$1,0))&amp;""="","",IF(LEFT(INDEX(Responses!$A$2:$ZZ$2,1,MATCH(BH$6,Responses!$1:$1,0)),1)="N","NA",VALUE(LEFT(INDEX(Responses!$A$2:$ZZ$2,1,MATCH(BH$6,Responses!$1:$1,0)),1))))</f>
        <v>2</v>
      </c>
      <c r="BI7">
        <f>IF(INDEX(Responses!$A$2:$ZZ$2,1,MATCH(BI$6,Responses!$1:$1,0))&amp;""="","",IF(LEFT(INDEX(Responses!$A$2:$ZZ$2,1,MATCH(BI$6,Responses!$1:$1,0)),1)="N","NA",VALUE(LEFT(INDEX(Responses!$A$2:$ZZ$2,1,MATCH(BI$6,Responses!$1:$1,0)),1))))</f>
        <v>5</v>
      </c>
      <c r="BJ7">
        <f>IF(INDEX(Responses!$A$2:$ZZ$2,1,MATCH(BJ$6,Responses!$1:$1,0))&amp;""="","",IF(LEFT(INDEX(Responses!$A$2:$ZZ$2,1,MATCH(BJ$6,Responses!$1:$1,0)),1)="N","NA",VALUE(LEFT(INDEX(Responses!$A$2:$ZZ$2,1,MATCH(BJ$6,Responses!$1:$1,0)),1))))</f>
        <v>1</v>
      </c>
      <c r="BK7">
        <f>IF(INDEX(Responses!$A$2:$ZZ$2,1,MATCH(BK$6,Responses!$1:$1,0))&amp;""="","",IF(LEFT(INDEX(Responses!$A$2:$ZZ$2,1,MATCH(BK$6,Responses!$1:$1,0)),1)="N","NA",VALUE(LEFT(INDEX(Responses!$A$2:$ZZ$2,1,MATCH(BK$6,Responses!$1:$1,0)),1))))</f>
        <v>4</v>
      </c>
      <c r="BL7">
        <f>IF(INDEX(Responses!$A$2:$ZZ$2,1,MATCH(BL$6,Responses!$1:$1,0))&amp;""="","",IF(LEFT(INDEX(Responses!$A$2:$ZZ$2,1,MATCH(BL$6,Responses!$1:$1,0)),1)="N","NA",VALUE(LEFT(INDEX(Responses!$A$2:$ZZ$2,1,MATCH(BL$6,Responses!$1:$1,0)),1))))</f>
        <v>4</v>
      </c>
      <c r="BM7">
        <f>IF(INDEX(Responses!$A$2:$ZZ$2,1,MATCH(BM$6,Responses!$1:$1,0))&amp;""="","",IF(LEFT(INDEX(Responses!$A$2:$ZZ$2,1,MATCH(BM$6,Responses!$1:$1,0)),1)="N","NA",VALUE(LEFT(INDEX(Responses!$A$2:$ZZ$2,1,MATCH(BM$6,Responses!$1:$1,0)),1))))</f>
        <v>2</v>
      </c>
      <c r="BN7">
        <f>IF(INDEX(Responses!$A$2:$ZZ$2,1,MATCH(BN$6,Responses!$1:$1,0))&amp;""="","",IF(LEFT(INDEX(Responses!$A$2:$ZZ$2,1,MATCH(BN$6,Responses!$1:$1,0)),1)="N","NA",VALUE(LEFT(INDEX(Responses!$A$2:$ZZ$2,1,MATCH(BN$6,Responses!$1:$1,0)),1))))</f>
        <v>3</v>
      </c>
      <c r="BO7">
        <f>IF(INDEX(Responses!$A$2:$ZZ$2,1,MATCH(BO$6,Responses!$1:$1,0))&amp;""="","",IF(LEFT(INDEX(Responses!$A$2:$ZZ$2,1,MATCH(BO$6,Responses!$1:$1,0)),1)="N","NA",VALUE(LEFT(INDEX(Responses!$A$2:$ZZ$2,1,MATCH(BO$6,Responses!$1:$1,0)),1))))</f>
        <v>4</v>
      </c>
      <c r="BP7">
        <f>IF(INDEX(Responses!$A$2:$ZZ$2,1,MATCH(BP$6,Responses!$1:$1,0))&amp;""="","",IF(LEFT(INDEX(Responses!$A$2:$ZZ$2,1,MATCH(BP$6,Responses!$1:$1,0)),1)="N","NA",VALUE(LEFT(INDEX(Responses!$A$2:$ZZ$2,1,MATCH(BP$6,Responses!$1:$1,0)),1))))</f>
        <v>3</v>
      </c>
      <c r="BQ7">
        <f>IF(INDEX(Responses!$A$2:$ZZ$2,1,MATCH(BQ$6,Responses!$1:$1,0))&amp;""="","",IF(LEFT(INDEX(Responses!$A$2:$ZZ$2,1,MATCH(BQ$6,Responses!$1:$1,0)),1)="N","NA",VALUE(LEFT(INDEX(Responses!$A$2:$ZZ$2,1,MATCH(BQ$6,Responses!$1:$1,0)),1))))</f>
        <v>5</v>
      </c>
      <c r="BR7">
        <f>IF(INDEX(Responses!$A$2:$ZZ$2,1,MATCH(BR$6,Responses!$1:$1,0))&amp;""="","",IF(LEFT(INDEX(Responses!$A$2:$ZZ$2,1,MATCH(BR$6,Responses!$1:$1,0)),1)="N","NA",VALUE(LEFT(INDEX(Responses!$A$2:$ZZ$2,1,MATCH(BR$6,Responses!$1:$1,0)),1))))</f>
        <v>4</v>
      </c>
      <c r="BS7">
        <f>IF(INDEX(Responses!$A$2:$ZZ$2,1,MATCH(BS$6,Responses!$1:$1,0))&amp;""="","",IF(LEFT(INDEX(Responses!$A$2:$ZZ$2,1,MATCH(BS$6,Responses!$1:$1,0)),1)="N","NA",VALUE(LEFT(INDEX(Responses!$A$2:$ZZ$2,1,MATCH(BS$6,Responses!$1:$1,0)),1))))</f>
        <v>4</v>
      </c>
      <c r="BT7">
        <f>IF(INDEX(Responses!$A$2:$ZZ$2,1,MATCH(BT$6,Responses!$1:$1,0))&amp;""="","",IF(LEFT(INDEX(Responses!$A$2:$ZZ$2,1,MATCH(BT$6,Responses!$1:$1,0)),1)="N","NA",VALUE(LEFT(INDEX(Responses!$A$2:$ZZ$2,1,MATCH(BT$6,Responses!$1:$1,0)),1))))</f>
        <v>2</v>
      </c>
      <c r="BU7">
        <f>IF(INDEX(Responses!$A$2:$ZZ$2,1,MATCH(BU$6,Responses!$1:$1,0))&amp;""="","",IF(LEFT(INDEX(Responses!$A$2:$ZZ$2,1,MATCH(BU$6,Responses!$1:$1,0)),1)="N","NA",VALUE(LEFT(INDEX(Responses!$A$2:$ZZ$2,1,MATCH(BU$6,Responses!$1:$1,0)),1))))</f>
        <v>2</v>
      </c>
      <c r="BV7">
        <f>IF(INDEX(Responses!$A$2:$ZZ$2,1,MATCH(BV$6,Responses!$1:$1,0))&amp;""="","",IF(LEFT(INDEX(Responses!$A$2:$ZZ$2,1,MATCH(BV$6,Responses!$1:$1,0)),1)="N","NA",VALUE(LEFT(INDEX(Responses!$A$2:$ZZ$2,1,MATCH(BV$6,Responses!$1:$1,0)),1))))</f>
        <v>2</v>
      </c>
      <c r="BW7">
        <f>IF(INDEX(Responses!$A$2:$ZZ$2,1,MATCH(BW$6,Responses!$1:$1,0))&amp;""="","",IF(LEFT(INDEX(Responses!$A$2:$ZZ$2,1,MATCH(BW$6,Responses!$1:$1,0)),1)="N","NA",VALUE(LEFT(INDEX(Responses!$A$2:$ZZ$2,1,MATCH(BW$6,Responses!$1:$1,0)),1))))</f>
        <v>2</v>
      </c>
      <c r="BX7">
        <f>IF(INDEX(Responses!$A$2:$ZZ$2,1,MATCH(BX$6,Responses!$1:$1,0))&amp;""="","",IF(LEFT(INDEX(Responses!$A$2:$ZZ$2,1,MATCH(BX$6,Responses!$1:$1,0)),1)="N","NA",VALUE(LEFT(INDEX(Responses!$A$2:$ZZ$2,1,MATCH(BX$6,Responses!$1:$1,0)),1))))</f>
        <v>2</v>
      </c>
      <c r="BY7">
        <f>IF(INDEX(Responses!$A$2:$ZZ$2,1,MATCH(BY$6,Responses!$1:$1,0))&amp;""="","",IF(LEFT(INDEX(Responses!$A$2:$ZZ$2,1,MATCH(BY$6,Responses!$1:$1,0)),1)="N","NA",VALUE(LEFT(INDEX(Responses!$A$2:$ZZ$2,1,MATCH(BY$6,Responses!$1:$1,0)),1))))</f>
        <v>1</v>
      </c>
      <c r="BZ7">
        <f>IF(INDEX(Responses!$A$2:$ZZ$2,1,MATCH(BZ$6,Responses!$1:$1,0))&amp;""="","",IF(LEFT(INDEX(Responses!$A$2:$ZZ$2,1,MATCH(BZ$6,Responses!$1:$1,0)),1)="N","NA",VALUE(LEFT(INDEX(Responses!$A$2:$ZZ$2,1,MATCH(BZ$6,Responses!$1:$1,0)),1))))</f>
        <v>4</v>
      </c>
      <c r="CA7">
        <f>IF(INDEX(Responses!$A$2:$ZZ$2,1,MATCH(CA$6,Responses!$1:$1,0))&amp;""="","",IF(LEFT(INDEX(Responses!$A$2:$ZZ$2,1,MATCH(CA$6,Responses!$1:$1,0)),1)="N","NA",VALUE(LEFT(INDEX(Responses!$A$2:$ZZ$2,1,MATCH(CA$6,Responses!$1:$1,0)),1))))</f>
        <v>3</v>
      </c>
      <c r="CB7">
        <f>IF(INDEX(Responses!$A$2:$ZZ$2,1,MATCH(CB$6,Responses!$1:$1,0))&amp;""="","",IF(LEFT(INDEX(Responses!$A$2:$ZZ$2,1,MATCH(CB$6,Responses!$1:$1,0)),1)="N","NA",VALUE(LEFT(INDEX(Responses!$A$2:$ZZ$2,1,MATCH(CB$6,Responses!$1:$1,0)),1))))</f>
        <v>3</v>
      </c>
      <c r="CC7">
        <f>IF(INDEX(Responses!$A$2:$ZZ$2,1,MATCH(CC$6,Responses!$1:$1,0))&amp;""="","",IF(LEFT(INDEX(Responses!$A$2:$ZZ$2,1,MATCH(CC$6,Responses!$1:$1,0)),1)="N","NA",VALUE(LEFT(INDEX(Responses!$A$2:$ZZ$2,1,MATCH(CC$6,Responses!$1:$1,0)),1))))</f>
        <v>4</v>
      </c>
      <c r="CD7">
        <f>IF(INDEX(Responses!$A$2:$ZZ$2,1,MATCH(CD$6,Responses!$1:$1,0))&amp;""="","",IF(LEFT(INDEX(Responses!$A$2:$ZZ$2,1,MATCH(CD$6,Responses!$1:$1,0)),1)="N","NA",VALUE(LEFT(INDEX(Responses!$A$2:$ZZ$2,1,MATCH(CD$6,Responses!$1:$1,0)),1))))</f>
        <v>3</v>
      </c>
      <c r="CE7">
        <f>IF(INDEX(Responses!$A$2:$ZZ$2,1,MATCH(CE$6,Responses!$1:$1,0))&amp;""="","",IF(LEFT(INDEX(Responses!$A$2:$ZZ$2,1,MATCH(CE$6,Responses!$1:$1,0)),1)="N","NA",VALUE(LEFT(INDEX(Responses!$A$2:$ZZ$2,1,MATCH(CE$6,Responses!$1:$1,0)),1))))</f>
        <v>3</v>
      </c>
      <c r="CF7">
        <f>IF(INDEX(Responses!$A$2:$ZZ$2,1,MATCH(CF$6,Responses!$1:$1,0))&amp;""="","",IF(LEFT(INDEX(Responses!$A$2:$ZZ$2,1,MATCH(CF$6,Responses!$1:$1,0)),1)="N","NA",VALUE(LEFT(INDEX(Responses!$A$2:$ZZ$2,1,MATCH(CF$6,Responses!$1:$1,0)),1))))</f>
        <v>1</v>
      </c>
      <c r="CG7">
        <f>IF(INDEX(Responses!$A$2:$ZZ$2,1,MATCH(CG$6,Responses!$1:$1,0))&amp;""="","",IF(LEFT(INDEX(Responses!$A$2:$ZZ$2,1,MATCH(CG$6,Responses!$1:$1,0)),1)="N","NA",VALUE(LEFT(INDEX(Responses!$A$2:$ZZ$2,1,MATCH(CG$6,Responses!$1:$1,0)),1))))</f>
        <v>5</v>
      </c>
      <c r="CH7">
        <f>IF(INDEX(Responses!$A$2:$ZZ$2,1,MATCH(CH$6,Responses!$1:$1,0))&amp;""="","",IF(LEFT(INDEX(Responses!$A$2:$ZZ$2,1,MATCH(CH$6,Responses!$1:$1,0)),1)="N","NA",VALUE(LEFT(INDEX(Responses!$A$2:$ZZ$2,1,MATCH(CH$6,Responses!$1:$1,0)),1))))</f>
        <v>3</v>
      </c>
      <c r="CI7">
        <f>IF(INDEX(Responses!$A$2:$ZZ$2,1,MATCH(CI$6,Responses!$1:$1,0))&amp;""="","",IF(LEFT(INDEX(Responses!$A$2:$ZZ$2,1,MATCH(CI$6,Responses!$1:$1,0)),1)="N","NA",VALUE(LEFT(INDEX(Responses!$A$2:$ZZ$2,1,MATCH(CI$6,Responses!$1:$1,0)),1))))</f>
        <v>2</v>
      </c>
      <c r="CJ7">
        <f>IF(INDEX(Responses!$A$2:$ZZ$2,1,MATCH(CJ$6,Responses!$1:$1,0))&amp;""="","",IF(LEFT(INDEX(Responses!$A$2:$ZZ$2,1,MATCH(CJ$6,Responses!$1:$1,0)),1)="N","NA",VALUE(LEFT(INDEX(Responses!$A$2:$ZZ$2,1,MATCH(CJ$6,Responses!$1:$1,0)),1))))</f>
        <v>2</v>
      </c>
      <c r="CK7">
        <f>IF(INDEX(Responses!$A$2:$ZZ$2,1,MATCH(CK$6,Responses!$1:$1,0))&amp;""="","",IF(LEFT(INDEX(Responses!$A$2:$ZZ$2,1,MATCH(CK$6,Responses!$1:$1,0)),1)="N","NA",VALUE(LEFT(INDEX(Responses!$A$2:$ZZ$2,1,MATCH(CK$6,Responses!$1:$1,0)),1))))</f>
        <v>2</v>
      </c>
      <c r="CL7">
        <f>IF(INDEX(Responses!$A$2:$ZZ$2,1,MATCH(CL$6,Responses!$1:$1,0))&amp;""="","",IF(LEFT(INDEX(Responses!$A$2:$ZZ$2,1,MATCH(CL$6,Responses!$1:$1,0)),1)="N","NA",VALUE(LEFT(INDEX(Responses!$A$2:$ZZ$2,1,MATCH(CL$6,Responses!$1:$1,0)),1))))</f>
        <v>2</v>
      </c>
      <c r="CM7">
        <f>IF(INDEX(Responses!$A$2:$ZZ$2,1,MATCH(CM$6,Responses!$1:$1,0))&amp;""="","",IF(LEFT(INDEX(Responses!$A$2:$ZZ$2,1,MATCH(CM$6,Responses!$1:$1,0)),1)="N","NA",VALUE(LEFT(INDEX(Responses!$A$2:$ZZ$2,1,MATCH(CM$6,Responses!$1:$1,0)),1))))</f>
        <v>4</v>
      </c>
      <c r="CN7">
        <f>IF(INDEX(Responses!$A$2:$ZZ$2,1,MATCH(CN$6,Responses!$1:$1,0))&amp;""="","",IF(LEFT(INDEX(Responses!$A$2:$ZZ$2,1,MATCH(CN$6,Responses!$1:$1,0)),1)="N","NA",VALUE(LEFT(INDEX(Responses!$A$2:$ZZ$2,1,MATCH(CN$6,Responses!$1:$1,0)),1))))</f>
        <v>1</v>
      </c>
      <c r="CO7">
        <f>IF(INDEX(Responses!$A$2:$ZZ$2,1,MATCH(CO$6,Responses!$1:$1,0))&amp;""="","",IF(LEFT(INDEX(Responses!$A$2:$ZZ$2,1,MATCH(CO$6,Responses!$1:$1,0)),1)="N","NA",VALUE(LEFT(INDEX(Responses!$A$2:$ZZ$2,1,MATCH(CO$6,Responses!$1:$1,0)),1))))</f>
        <v>5</v>
      </c>
      <c r="CP7">
        <f>IF(INDEX(Responses!$A$2:$ZZ$2,1,MATCH(CP$6,Responses!$1:$1,0))&amp;""="","",IF(LEFT(INDEX(Responses!$A$2:$ZZ$2,1,MATCH(CP$6,Responses!$1:$1,0)),1)="N","NA",VALUE(LEFT(INDEX(Responses!$A$2:$ZZ$2,1,MATCH(CP$6,Responses!$1:$1,0)),1))))</f>
        <v>5</v>
      </c>
      <c r="CQ7">
        <f>IF(INDEX(Responses!$A$2:$ZZ$2,1,MATCH(CQ$6,Responses!$1:$1,0))&amp;""="","",IF(LEFT(INDEX(Responses!$A$2:$ZZ$2,1,MATCH(CQ$6,Responses!$1:$1,0)),1)="N","NA",VALUE(LEFT(INDEX(Responses!$A$2:$ZZ$2,1,MATCH(CQ$6,Responses!$1:$1,0)),1))))</f>
        <v>4</v>
      </c>
      <c r="CR7">
        <f>IF(INDEX(Responses!$A$2:$ZZ$2,1,MATCH(CR$6,Responses!$1:$1,0))&amp;""="","",IF(LEFT(INDEX(Responses!$A$2:$ZZ$2,1,MATCH(CR$6,Responses!$1:$1,0)),1)="N","NA",VALUE(LEFT(INDEX(Responses!$A$2:$ZZ$2,1,MATCH(CR$6,Responses!$1:$1,0)),1))))</f>
        <v>4</v>
      </c>
      <c r="CS7">
        <f>IF(INDEX(Responses!$A$2:$ZZ$2,1,MATCH(CS$6,Responses!$1:$1,0))&amp;""="","",IF(LEFT(INDEX(Responses!$A$2:$ZZ$2,1,MATCH(CS$6,Responses!$1:$1,0)),1)="N","NA",VALUE(LEFT(INDEX(Responses!$A$2:$ZZ$2,1,MATCH(CS$6,Responses!$1:$1,0)),1))))</f>
        <v>5</v>
      </c>
      <c r="CT7">
        <f>IF(INDEX(Responses!$A$2:$ZZ$2,1,MATCH(CT$6,Responses!$1:$1,0))&amp;""="","",IF(LEFT(INDEX(Responses!$A$2:$ZZ$2,1,MATCH(CT$6,Responses!$1:$1,0)),1)="N","NA",VALUE(LEFT(INDEX(Responses!$A$2:$ZZ$2,1,MATCH(CT$6,Responses!$1:$1,0)),1))))</f>
        <v>4</v>
      </c>
      <c r="CU7">
        <f>IF(INDEX(Responses!$A$2:$ZZ$2,1,MATCH(CU$6,Responses!$1:$1,0))&amp;""="","",IF(LEFT(INDEX(Responses!$A$2:$ZZ$2,1,MATCH(CU$6,Responses!$1:$1,0)),1)="N","NA",VALUE(LEFT(INDEX(Responses!$A$2:$ZZ$2,1,MATCH(CU$6,Responses!$1:$1,0)),1))))</f>
        <v>4</v>
      </c>
      <c r="CV7">
        <f>IF(INDEX(Responses!$A$2:$ZZ$2,1,MATCH(CV$6,Responses!$1:$1,0))&amp;""="","",IF(LEFT(INDEX(Responses!$A$2:$ZZ$2,1,MATCH(CV$6,Responses!$1:$1,0)),1)="N","NA",VALUE(LEFT(INDEX(Responses!$A$2:$ZZ$2,1,MATCH(CV$6,Responses!$1:$1,0)),1))))</f>
        <v>4</v>
      </c>
      <c r="CW7">
        <f>IF(INDEX(Responses!$A$2:$ZZ$2,1,MATCH(CW$6,Responses!$1:$1,0))&amp;""="","",IF(LEFT(INDEX(Responses!$A$2:$ZZ$2,1,MATCH(CW$6,Responses!$1:$1,0)),1)="N","NA",VALUE(LEFT(INDEX(Responses!$A$2:$ZZ$2,1,MATCH(CW$6,Responses!$1:$1,0)),1))))</f>
        <v>3</v>
      </c>
      <c r="CX7">
        <f>IF(INDEX(Responses!$A$2:$ZZ$2,1,MATCH(CX$6,Responses!$1:$1,0))&amp;""="","",IF(LEFT(INDEX(Responses!$A$2:$ZZ$2,1,MATCH(CX$6,Responses!$1:$1,0)),1)="N","NA",VALUE(LEFT(INDEX(Responses!$A$2:$ZZ$2,1,MATCH(CX$6,Responses!$1:$1,0)),1))))</f>
        <v>3</v>
      </c>
      <c r="CY7">
        <f>IF(INDEX(Responses!$A$2:$ZZ$2,1,MATCH(CY$6,Responses!$1:$1,0))&amp;""="","",IF(LEFT(INDEX(Responses!$A$2:$ZZ$2,1,MATCH(CY$6,Responses!$1:$1,0)),1)="N","NA",VALUE(LEFT(INDEX(Responses!$A$2:$ZZ$2,1,MATCH(CY$6,Responses!$1:$1,0)),1))))</f>
        <v>3</v>
      </c>
      <c r="CZ7">
        <f>IF(INDEX(Responses!$A$2:$ZZ$2,1,MATCH(CZ$6,Responses!$1:$1,0))&amp;""="","",IF(LEFT(INDEX(Responses!$A$2:$ZZ$2,1,MATCH(CZ$6,Responses!$1:$1,0)),1)="N","NA",VALUE(LEFT(INDEX(Responses!$A$2:$ZZ$2,1,MATCH(CZ$6,Responses!$1:$1,0)),1))))</f>
        <v>3</v>
      </c>
      <c r="DA7">
        <f>IF(INDEX(Responses!$A$2:$ZZ$2,1,MATCH(DA$6,Responses!$1:$1,0))&amp;""="","",IF(LEFT(INDEX(Responses!$A$2:$ZZ$2,1,MATCH(DA$6,Responses!$1:$1,0)),1)="N","NA",VALUE(LEFT(INDEX(Responses!$A$2:$ZZ$2,1,MATCH(DA$6,Responses!$1:$1,0)),1))))</f>
        <v>4</v>
      </c>
      <c r="DB7">
        <f>IF(INDEX(Responses!$A$2:$ZZ$2,1,MATCH(DB$6,Responses!$1:$1,0))&amp;""="","",IF(LEFT(INDEX(Responses!$A$2:$ZZ$2,1,MATCH(DB$6,Responses!$1:$1,0)),1)="N","NA",VALUE(LEFT(INDEX(Responses!$A$2:$ZZ$2,1,MATCH(DB$6,Responses!$1:$1,0)),1))))</f>
        <v>4</v>
      </c>
      <c r="DC7">
        <f>IF(INDEX(Responses!$A$2:$ZZ$2,1,MATCH(DC$6,Responses!$1:$1,0))&amp;""="","",IF(LEFT(INDEX(Responses!$A$2:$ZZ$2,1,MATCH(DC$6,Responses!$1:$1,0)),1)="N","NA",VALUE(LEFT(INDEX(Responses!$A$2:$ZZ$2,1,MATCH(DC$6,Responses!$1:$1,0)),1))))</f>
        <v>3</v>
      </c>
      <c r="DD7">
        <f>IF(INDEX(Responses!$A$2:$ZZ$2,1,MATCH(DD$6,Responses!$1:$1,0))&amp;""="","",IF(LEFT(INDEX(Responses!$A$2:$ZZ$2,1,MATCH(DD$6,Responses!$1:$1,0)),1)="N","NA",VALUE(LEFT(INDEX(Responses!$A$2:$ZZ$2,1,MATCH(DD$6,Responses!$1:$1,0)),1))))</f>
        <v>5</v>
      </c>
      <c r="DE7">
        <f>IF(INDEX(Responses!$A$2:$ZZ$2,1,MATCH(DE$6,Responses!$1:$1,0))&amp;""="","",IF(LEFT(INDEX(Responses!$A$2:$ZZ$2,1,MATCH(DE$6,Responses!$1:$1,0)),1)="N","NA",VALUE(LEFT(INDEX(Responses!$A$2:$ZZ$2,1,MATCH(DE$6,Responses!$1:$1,0)),1))))</f>
        <v>5</v>
      </c>
      <c r="DF7">
        <f>IF(INDEX(Responses!$A$2:$ZZ$2,1,MATCH(DF$6,Responses!$1:$1,0))&amp;""="","",IF(LEFT(INDEX(Responses!$A$2:$ZZ$2,1,MATCH(DF$6,Responses!$1:$1,0)),1)="N","NA",VALUE(LEFT(INDEX(Responses!$A$2:$ZZ$2,1,MATCH(DF$6,Responses!$1:$1,0)),1))))</f>
        <v>5</v>
      </c>
      <c r="DG7">
        <f>IF(INDEX(Responses!$A$2:$ZZ$2,1,MATCH(DG$6,Responses!$1:$1,0))&amp;""="","",IF(LEFT(INDEX(Responses!$A$2:$ZZ$2,1,MATCH(DG$6,Responses!$1:$1,0)),1)="N","NA",VALUE(LEFT(INDEX(Responses!$A$2:$ZZ$2,1,MATCH(DG$6,Responses!$1:$1,0)),1))))</f>
        <v>5</v>
      </c>
      <c r="DH7">
        <f>IF(INDEX(Responses!$A$2:$ZZ$2,1,MATCH(DH$6,Responses!$1:$1,0))&amp;""="","",IF(LEFT(INDEX(Responses!$A$2:$ZZ$2,1,MATCH(DH$6,Responses!$1:$1,0)),1)="N","NA",VALUE(LEFT(INDEX(Responses!$A$2:$ZZ$2,1,MATCH(DH$6,Responses!$1:$1,0)),1))))</f>
        <v>6</v>
      </c>
      <c r="DI7">
        <f>IF(INDEX(Responses!$A$2:$ZZ$2,1,MATCH(DI$6,Responses!$1:$1,0))&amp;""="","",IF(LEFT(INDEX(Responses!$A$2:$ZZ$2,1,MATCH(DI$6,Responses!$1:$1,0)),1)="N","NA",VALUE(LEFT(INDEX(Responses!$A$2:$ZZ$2,1,MATCH(DI$6,Responses!$1:$1,0)),1))))</f>
        <v>6</v>
      </c>
      <c r="DJ7">
        <f>IF(INDEX(Responses!$A$2:$ZZ$2,1,MATCH(DJ$6,Responses!$1:$1,0))&amp;""="","",IF(LEFT(INDEX(Responses!$A$2:$ZZ$2,1,MATCH(DJ$6,Responses!$1:$1,0)),1)="N","NA",VALUE(LEFT(INDEX(Responses!$A$2:$ZZ$2,1,MATCH(DJ$6,Responses!$1:$1,0)),1))))</f>
        <v>5</v>
      </c>
      <c r="DK7">
        <f>IF(INDEX(Responses!$A$2:$ZZ$2,1,MATCH(DK$6,Responses!$1:$1,0))&amp;""="","",IF(LEFT(INDEX(Responses!$A$2:$ZZ$2,1,MATCH(DK$6,Responses!$1:$1,0)),1)="N","NA",VALUE(LEFT(INDEX(Responses!$A$2:$ZZ$2,1,MATCH(DK$6,Responses!$1:$1,0)),1))))</f>
        <v>6</v>
      </c>
      <c r="DL7">
        <f>IF(INDEX(Responses!$A$2:$ZZ$2,1,MATCH(DL$6,Responses!$1:$1,0))&amp;""="","",IF(LEFT(INDEX(Responses!$A$2:$ZZ$2,1,MATCH(DL$6,Responses!$1:$1,0)),1)="N","NA",VALUE(LEFT(INDEX(Responses!$A$2:$ZZ$2,1,MATCH(DL$6,Responses!$1:$1,0)),1))))</f>
        <v>6</v>
      </c>
      <c r="DM7">
        <f>IF(INDEX(Responses!$A$2:$ZZ$2,1,MATCH(DM$6,Responses!$1:$1,0))&amp;""="","",IF(LEFT(INDEX(Responses!$A$2:$ZZ$2,1,MATCH(DM$6,Responses!$1:$1,0)),1)="N","NA",VALUE(LEFT(INDEX(Responses!$A$2:$ZZ$2,1,MATCH(DM$6,Responses!$1:$1,0)),1))))</f>
        <v>5</v>
      </c>
      <c r="DN7">
        <f>IF(INDEX(Responses!$A$2:$ZZ$2,1,MATCH(DN$6,Responses!$1:$1,0))&amp;""="","",IF(LEFT(INDEX(Responses!$A$2:$ZZ$2,1,MATCH(DN$6,Responses!$1:$1,0)),1)="N","NA",VALUE(LEFT(INDEX(Responses!$A$2:$ZZ$2,1,MATCH(DN$6,Responses!$1:$1,0)),1))))</f>
        <v>5</v>
      </c>
      <c r="DO7">
        <f>IF(INDEX(Responses!$A$2:$ZZ$2,1,MATCH(DO$6,Responses!$1:$1,0))&amp;""="","",IF(LEFT(INDEX(Responses!$A$2:$ZZ$2,1,MATCH(DO$6,Responses!$1:$1,0)),1)="N","NA",VALUE(LEFT(INDEX(Responses!$A$2:$ZZ$2,1,MATCH(DO$6,Responses!$1:$1,0)),1))))</f>
        <v>5</v>
      </c>
      <c r="DP7">
        <f>IF(INDEX(Responses!$A$2:$ZZ$2,1,MATCH(DP$6,Responses!$1:$1,0))&amp;""="","",IF(LEFT(INDEX(Responses!$A$2:$ZZ$2,1,MATCH(DP$6,Responses!$1:$1,0)),1)="N","NA",VALUE(LEFT(INDEX(Responses!$A$2:$ZZ$2,1,MATCH(DP$6,Responses!$1:$1,0)),1))))</f>
        <v>4</v>
      </c>
      <c r="DQ7">
        <f>IF(INDEX(Responses!$A$2:$ZZ$2,1,MATCH(DQ$6,Responses!$1:$1,0))&amp;""="","",IF(LEFT(INDEX(Responses!$A$2:$ZZ$2,1,MATCH(DQ$6,Responses!$1:$1,0)),1)="N","NA",VALUE(LEFT(INDEX(Responses!$A$2:$ZZ$2,1,MATCH(DQ$6,Responses!$1:$1,0)),1))))</f>
        <v>4</v>
      </c>
      <c r="DR7">
        <f>IF(INDEX(Responses!$A$2:$ZZ$2,1,MATCH(DR$6,Responses!$1:$1,0))&amp;""="","",IF(LEFT(INDEX(Responses!$A$2:$ZZ$2,1,MATCH(DR$6,Responses!$1:$1,0)),1)="N","NA",VALUE(LEFT(INDEX(Responses!$A$2:$ZZ$2,1,MATCH(DR$6,Responses!$1:$1,0)),1))))</f>
        <v>5</v>
      </c>
      <c r="DS7">
        <f>IF(INDEX(Responses!$A$2:$ZZ$2,1,MATCH(DS$6,Responses!$1:$1,0))&amp;""="","",IF(LEFT(INDEX(Responses!$A$2:$ZZ$2,1,MATCH(DS$6,Responses!$1:$1,0)),1)="N","NA",VALUE(LEFT(INDEX(Responses!$A$2:$ZZ$2,1,MATCH(DS$6,Responses!$1:$1,0)),1))))</f>
        <v>4</v>
      </c>
      <c r="DT7">
        <f>IF(INDEX(Responses!$A$2:$ZZ$2,1,MATCH(DT$6,Responses!$1:$1,0))&amp;""="","",IF(LEFT(INDEX(Responses!$A$2:$ZZ$2,1,MATCH(DT$6,Responses!$1:$1,0)),1)="N","NA",VALUE(LEFT(INDEX(Responses!$A$2:$ZZ$2,1,MATCH(DT$6,Responses!$1:$1,0)),1))))</f>
        <v>6</v>
      </c>
      <c r="DU7">
        <f>IF(INDEX(Responses!$A$2:$ZZ$2,1,MATCH(DU$6,Responses!$1:$1,0))&amp;""="","",IF(LEFT(INDEX(Responses!$A$2:$ZZ$2,1,MATCH(DU$6,Responses!$1:$1,0)),1)="N","NA",VALUE(LEFT(INDEX(Responses!$A$2:$ZZ$2,1,MATCH(DU$6,Responses!$1:$1,0)),1))))</f>
        <v>5</v>
      </c>
      <c r="DV7">
        <f>IF(INDEX(Responses!$A$2:$ZZ$2,1,MATCH(DV$6,Responses!$1:$1,0))&amp;""="","",IF(LEFT(INDEX(Responses!$A$2:$ZZ$2,1,MATCH(DV$6,Responses!$1:$1,0)),1)="N","NA",VALUE(LEFT(INDEX(Responses!$A$2:$ZZ$2,1,MATCH(DV$6,Responses!$1:$1,0)),1))))</f>
        <v>4</v>
      </c>
      <c r="DW7">
        <f>IF(INDEX(Responses!$A$2:$ZZ$2,1,MATCH(DW$6,Responses!$1:$1,0))&amp;""="","",IF(LEFT(INDEX(Responses!$A$2:$ZZ$2,1,MATCH(DW$6,Responses!$1:$1,0)),1)="N","NA",VALUE(LEFT(INDEX(Responses!$A$2:$ZZ$2,1,MATCH(DW$6,Responses!$1:$1,0)),1))))</f>
        <v>6</v>
      </c>
      <c r="DX7">
        <f>IF(INDEX(Responses!$A$2:$ZZ$2,1,MATCH(DX$6,Responses!$1:$1,0))&amp;""="","",IF(LEFT(INDEX(Responses!$A$2:$ZZ$2,1,MATCH(DX$6,Responses!$1:$1,0)),1)="N","NA",VALUE(LEFT(INDEX(Responses!$A$2:$ZZ$2,1,MATCH(DX$6,Responses!$1:$1,0)),1))))</f>
        <v>6</v>
      </c>
      <c r="DY7">
        <f>IF(INDEX(Responses!$A$2:$ZZ$2,1,MATCH(DY$6,Responses!$1:$1,0))&amp;""="","",IF(LEFT(INDEX(Responses!$A$2:$ZZ$2,1,MATCH(DY$6,Responses!$1:$1,0)),1)="N","NA",VALUE(LEFT(INDEX(Responses!$A$2:$ZZ$2,1,MATCH(DY$6,Responses!$1:$1,0)),1))))</f>
        <v>6</v>
      </c>
      <c r="DZ7">
        <f>IF(INDEX(Responses!$A$2:$ZZ$2,1,MATCH(DZ$6,Responses!$1:$1,0))&amp;""="","",IF(LEFT(INDEX(Responses!$A$2:$ZZ$2,1,MATCH(DZ$6,Responses!$1:$1,0)),1)="N","NA",VALUE(LEFT(INDEX(Responses!$A$2:$ZZ$2,1,MATCH(DZ$6,Responses!$1:$1,0)),1))))</f>
        <v>6</v>
      </c>
      <c r="EA7">
        <f>IF(INDEX(Responses!$A$2:$ZZ$2,1,MATCH(EA$6,Responses!$1:$1,0))&amp;""="","",IF(LEFT(INDEX(Responses!$A$2:$ZZ$2,1,MATCH(EA$6,Responses!$1:$1,0)),1)="N","NA",VALUE(LEFT(INDEX(Responses!$A$2:$ZZ$2,1,MATCH(EA$6,Responses!$1:$1,0)),1))))</f>
        <v>6</v>
      </c>
      <c r="EB7">
        <f>IF(INDEX(Responses!$A$2:$ZZ$2,1,MATCH(EB$6,Responses!$1:$1,0))&amp;""="","",IF(LEFT(INDEX(Responses!$A$2:$ZZ$2,1,MATCH(EB$6,Responses!$1:$1,0)),1)="N","NA",VALUE(LEFT(INDEX(Responses!$A$2:$ZZ$2,1,MATCH(EB$6,Responses!$1:$1,0)),1))))</f>
        <v>6</v>
      </c>
      <c r="EC7">
        <f>IF(INDEX(Responses!$A$2:$ZZ$2,1,MATCH(EC$6,Responses!$1:$1,0))&amp;""="","",IF(LEFT(INDEX(Responses!$A$2:$ZZ$2,1,MATCH(EC$6,Responses!$1:$1,0)),1)="N","NA",VALUE(LEFT(INDEX(Responses!$A$2:$ZZ$2,1,MATCH(EC$6,Responses!$1:$1,0)),1))))</f>
        <v>5</v>
      </c>
      <c r="ED7">
        <f>IF(INDEX(Responses!$A$2:$ZZ$2,1,MATCH(ED$6,Responses!$1:$1,0))&amp;""="","",IF(LEFT(INDEX(Responses!$A$2:$ZZ$2,1,MATCH(ED$6,Responses!$1:$1,0)),1)="N","NA",VALUE(LEFT(INDEX(Responses!$A$2:$ZZ$2,1,MATCH(ED$6,Responses!$1:$1,0)),1))))</f>
        <v>6</v>
      </c>
      <c r="EE7">
        <f>IF(INDEX(Responses!$A$2:$ZZ$2,1,MATCH(EE$6,Responses!$1:$1,0))&amp;""="","",IF(LEFT(INDEX(Responses!$A$2:$ZZ$2,1,MATCH(EE$6,Responses!$1:$1,0)),1)="N","NA",VALUE(LEFT(INDEX(Responses!$A$2:$ZZ$2,1,MATCH(EE$6,Responses!$1:$1,0)),1))))</f>
        <v>6</v>
      </c>
      <c r="EF7">
        <f>IF(INDEX(Responses!$A$2:$ZZ$2,1,MATCH(EF$6,Responses!$1:$1,0))&amp;""="","",IF(LEFT(INDEX(Responses!$A$2:$ZZ$2,1,MATCH(EF$6,Responses!$1:$1,0)),1)="N","NA",VALUE(LEFT(INDEX(Responses!$A$2:$ZZ$2,1,MATCH(EF$6,Responses!$1:$1,0)),1))))</f>
        <v>5</v>
      </c>
      <c r="EG7">
        <f>IF(INDEX(Responses!$A$2:$ZZ$2,1,MATCH(EG$6,Responses!$1:$1,0))&amp;""="","",IF(LEFT(INDEX(Responses!$A$2:$ZZ$2,1,MATCH(EG$6,Responses!$1:$1,0)),1)="N","NA",VALUE(LEFT(INDEX(Responses!$A$2:$ZZ$2,1,MATCH(EG$6,Responses!$1:$1,0)),1))))</f>
        <v>5</v>
      </c>
      <c r="EH7">
        <f>IF(INDEX(Responses!$A$2:$ZZ$2,1,MATCH(EH$6,Responses!$1:$1,0))&amp;""="","",IF(LEFT(INDEX(Responses!$A$2:$ZZ$2,1,MATCH(EH$6,Responses!$1:$1,0)),1)="N","NA",VALUE(LEFT(INDEX(Responses!$A$2:$ZZ$2,1,MATCH(EH$6,Responses!$1:$1,0)),1))))</f>
        <v>5</v>
      </c>
      <c r="EI7">
        <f>IF(INDEX(Responses!$A$2:$ZZ$2,1,MATCH(EI$6,Responses!$1:$1,0))&amp;""="","",IF(LEFT(INDEX(Responses!$A$2:$ZZ$2,1,MATCH(EI$6,Responses!$1:$1,0)),1)="N","NA",VALUE(LEFT(INDEX(Responses!$A$2:$ZZ$2,1,MATCH(EI$6,Responses!$1:$1,0)),1))))</f>
        <v>4</v>
      </c>
      <c r="EJ7">
        <f>IF(INDEX(Responses!$A$2:$ZZ$2,1,MATCH(EJ$6,Responses!$1:$1,0))&amp;""="","",IF(LEFT(INDEX(Responses!$A$2:$ZZ$2,1,MATCH(EJ$6,Responses!$1:$1,0)),1)="N","NA",VALUE(LEFT(INDEX(Responses!$A$2:$ZZ$2,1,MATCH(EJ$6,Responses!$1:$1,0)),1))))</f>
        <v>4</v>
      </c>
      <c r="EK7">
        <f>IF(INDEX(Responses!$A$2:$ZZ$2,1,MATCH(EK$6,Responses!$1:$1,0))&amp;""="","",IF(LEFT(INDEX(Responses!$A$2:$ZZ$2,1,MATCH(EK$6,Responses!$1:$1,0)),1)="N","NA",VALUE(LEFT(INDEX(Responses!$A$2:$ZZ$2,1,MATCH(EK$6,Responses!$1:$1,0)),1))))</f>
        <v>4</v>
      </c>
      <c r="EL7">
        <f>IF(INDEX(Responses!$A$2:$ZZ$2,1,MATCH(EL$6,Responses!$1:$1,0))&amp;""="","",IF(LEFT(INDEX(Responses!$A$2:$ZZ$2,1,MATCH(EL$6,Responses!$1:$1,0)),1)="N","NA",VALUE(LEFT(INDEX(Responses!$A$2:$ZZ$2,1,MATCH(EL$6,Responses!$1:$1,0)),1))))</f>
        <v>4</v>
      </c>
      <c r="EM7">
        <f>IF(INDEX(Responses!$A$2:$ZZ$2,1,MATCH(EM$6,Responses!$1:$1,0))&amp;""="","",IF(LEFT(INDEX(Responses!$A$2:$ZZ$2,1,MATCH(EM$6,Responses!$1:$1,0)),1)="N","NA",VALUE(LEFT(INDEX(Responses!$A$2:$ZZ$2,1,MATCH(EM$6,Responses!$1:$1,0)),1))))</f>
        <v>5</v>
      </c>
      <c r="EN7">
        <f>IF(INDEX(Responses!$A$2:$ZZ$2,1,MATCH(EN$6,Responses!$1:$1,0))&amp;""="","",IF(LEFT(INDEX(Responses!$A$2:$ZZ$2,1,MATCH(EN$6,Responses!$1:$1,0)),1)="N","NA",VALUE(LEFT(INDEX(Responses!$A$2:$ZZ$2,1,MATCH(EN$6,Responses!$1:$1,0)),1))))</f>
        <v>4</v>
      </c>
      <c r="EO7">
        <f>IF(INDEX(Responses!$A$2:$ZZ$2,1,MATCH(EO$6,Responses!$1:$1,0))&amp;""="","",IF(LEFT(INDEX(Responses!$A$2:$ZZ$2,1,MATCH(EO$6,Responses!$1:$1,0)),1)="N","NA",VALUE(LEFT(INDEX(Responses!$A$2:$ZZ$2,1,MATCH(EO$6,Responses!$1:$1,0)),1))))</f>
        <v>4</v>
      </c>
      <c r="EP7">
        <f>IF(INDEX(Responses!$A$2:$ZZ$2,1,MATCH(EP$6,Responses!$1:$1,0))&amp;""="","",IF(LEFT(INDEX(Responses!$A$2:$ZZ$2,1,MATCH(EP$6,Responses!$1:$1,0)),1)="N","NA",VALUE(LEFT(INDEX(Responses!$A$2:$ZZ$2,1,MATCH(EP$6,Responses!$1:$1,0)),1))))</f>
        <v>6</v>
      </c>
      <c r="EQ7">
        <f>IF(INDEX(Responses!$A$2:$ZZ$2,1,MATCH(EQ$6,Responses!$1:$1,0))&amp;""="","",IF(LEFT(INDEX(Responses!$A$2:$ZZ$2,1,MATCH(EQ$6,Responses!$1:$1,0)),1)="N","NA",VALUE(LEFT(INDEX(Responses!$A$2:$ZZ$2,1,MATCH(EQ$6,Responses!$1:$1,0)),1))))</f>
        <v>6</v>
      </c>
      <c r="ER7">
        <f>IF(INDEX(Responses!$A$2:$ZZ$2,1,MATCH(ER$6,Responses!$1:$1,0))&amp;""="","",IF(LEFT(INDEX(Responses!$A$2:$ZZ$2,1,MATCH(ER$6,Responses!$1:$1,0)),1)="N","NA",VALUE(LEFT(INDEX(Responses!$A$2:$ZZ$2,1,MATCH(ER$6,Responses!$1:$1,0)),1))))</f>
        <v>6</v>
      </c>
      <c r="ES7">
        <f>IF(INDEX(Responses!$A$2:$ZZ$2,1,MATCH(ES$6,Responses!$1:$1,0))&amp;""="","",IF(LEFT(INDEX(Responses!$A$2:$ZZ$2,1,MATCH(ES$6,Responses!$1:$1,0)),1)="N","NA",VALUE(LEFT(INDEX(Responses!$A$2:$ZZ$2,1,MATCH(ES$6,Responses!$1:$1,0)),1))))</f>
        <v>6</v>
      </c>
      <c r="ET7">
        <f>--ISNUMBER(SEARCH(INDEX(Items!$G:$G,MATCH(ET$1,Items!$A:$A,0)),INDEX(Responses!$A$2:$ZZ$2,1,MATCH(ET$6,Responses!$1:$1,0))))</f>
        <v>0</v>
      </c>
      <c r="EU7">
        <f>--ISNUMBER(SEARCH(INDEX(Items!$G:$G,MATCH(EU$1,Items!$A:$A,0)),INDEX(Responses!$A$2:$ZZ$2,1,MATCH(EU$6,Responses!$1:$1,0))))</f>
        <v>0</v>
      </c>
      <c r="EV7">
        <f>--ISNUMBER(SEARCH(INDEX(Items!$G:$G,MATCH(EV$1,Items!$A:$A,0)),INDEX(Responses!$A$2:$ZZ$2,1,MATCH(EV$6,Responses!$1:$1,0))))</f>
        <v>1</v>
      </c>
      <c r="EW7">
        <f>--ISNUMBER(SEARCH(INDEX(Items!$G:$G,MATCH(EW$1,Items!$A:$A,0)),INDEX(Responses!$A$2:$ZZ$2,1,MATCH(EW$6,Responses!$1:$1,0))))</f>
        <v>1</v>
      </c>
      <c r="EX7">
        <f>--ISNUMBER(SEARCH(INDEX(Items!$G:$G,MATCH(EX$1,Items!$A:$A,0)),INDEX(Responses!$A$2:$ZZ$2,1,MATCH(EX$6,Responses!$1:$1,0))))</f>
        <v>0</v>
      </c>
      <c r="EY7">
        <f>--ISNUMBER(SEARCH(INDEX(Items!$G:$G,MATCH(EY$1,Items!$A:$A,0)),INDEX(Responses!$A$2:$ZZ$2,1,MATCH(EY$6,Responses!$1:$1,0))))</f>
        <v>0</v>
      </c>
      <c r="EZ7">
        <f>--ISNUMBER(SEARCH(INDEX(Items!$G:$G,MATCH(EZ$1,Items!$A:$A,0)),INDEX(Responses!$A$2:$ZZ$2,1,MATCH(EZ$6,Responses!$1:$1,0))))</f>
        <v>1</v>
      </c>
      <c r="FA7">
        <f>--ISNUMBER(SEARCH(INDEX(Items!$G:$G,MATCH(FA$1,Items!$A:$A,0)),INDEX(Responses!$A$2:$ZZ$2,1,MATCH(FA$6,Responses!$1:$1,0))))</f>
        <v>0</v>
      </c>
      <c r="FB7">
        <f>--ISNUMBER(SEARCH(INDEX(Items!$G:$G,MATCH(FB$1,Items!$A:$A,0)),INDEX(Responses!$A$2:$ZZ$2,1,MATCH(FB$6,Responses!$1:$1,0))))</f>
        <v>0</v>
      </c>
      <c r="FC7">
        <f>--ISNUMBER(SEARCH(INDEX(Items!$G:$G,MATCH(FC$1,Items!$A:$A,0)),INDEX(Responses!$A$2:$ZZ$2,1,MATCH(FC$6,Responses!$1:$1,0))))</f>
        <v>1</v>
      </c>
      <c r="FD7">
        <f>--ISNUMBER(SEARCH(INDEX(Items!$G:$G,MATCH(FD$1,Items!$A:$A,0)),INDEX(Responses!$A$2:$ZZ$2,1,MATCH(FD$6,Responses!$1:$1,0))))</f>
        <v>1</v>
      </c>
      <c r="FE7">
        <f>--ISNUMBER(SEARCH(INDEX(Items!$G:$G,MATCH(FE$1,Items!$A:$A,0)),INDEX(Responses!$A$2:$ZZ$2,1,MATCH(FE$6,Responses!$1:$1,0))))</f>
        <v>1</v>
      </c>
      <c r="FF7">
        <f>--ISNUMBER(SEARCH(INDEX(Items!$G:$G,MATCH(FF$1,Items!$A:$A,0)),INDEX(Responses!$A$2:$ZZ$2,1,MATCH(FF$6,Responses!$1:$1,0))))</f>
        <v>0</v>
      </c>
      <c r="FG7">
        <f>--ISNUMBER(SEARCH(INDEX(Items!$G:$G,MATCH(FG$1,Items!$A:$A,0)),INDEX(Responses!$A$2:$ZZ$2,1,MATCH(FG$6,Responses!$1:$1,0))))</f>
        <v>1</v>
      </c>
      <c r="FH7">
        <f>--ISNUMBER(SEARCH(INDEX(Items!$G:$G,MATCH(FH$1,Items!$A:$A,0)),INDEX(Responses!$A$2:$ZZ$2,1,MATCH(FH$6,Responses!$1:$1,0))))</f>
        <v>0</v>
      </c>
      <c r="FI7">
        <f>--ISNUMBER(SEARCH(INDEX(Items!$G:$G,MATCH(FI$1,Items!$A:$A,0)),INDEX(Responses!$A$2:$ZZ$2,1,MATCH(FI$6,Responses!$1:$1,0))))</f>
        <v>0</v>
      </c>
      <c r="FJ7">
        <f>--ISNUMBER(SEARCH(INDEX(Items!$G:$G,MATCH(FJ$1,Items!$A:$A,0)),INDEX(Responses!$A$2:$ZZ$2,1,MATCH(FJ$6,Responses!$1:$1,0))))</f>
        <v>1</v>
      </c>
      <c r="FK7">
        <f>--ISNUMBER(SEARCH(INDEX(Items!$G:$G,MATCH(FK$1,Items!$A:$A,0)),INDEX(Responses!$A$2:$ZZ$2,1,MATCH(FK$6,Responses!$1:$1,0))))</f>
        <v>1</v>
      </c>
      <c r="FL7">
        <f>--ISNUMBER(SEARCH(INDEX(Items!$G:$G,MATCH(FL$1,Items!$A:$A,0)),INDEX(Responses!$A$2:$ZZ$2,1,MATCH(FL$6,Responses!$1:$1,0))))</f>
        <v>0</v>
      </c>
      <c r="FM7">
        <f>--ISNUMBER(SEARCH(INDEX(Items!$G:$G,MATCH(FM$1,Items!$A:$A,0)),INDEX(Responses!$A$2:$ZZ$2,1,MATCH(FM$6,Responses!$1:$1,0))))</f>
        <v>0</v>
      </c>
      <c r="FN7">
        <f>--ISNUMBER(SEARCH(INDEX(Items!$G:$G,MATCH(FN$1,Items!$A:$A,0)),INDEX(Responses!$A$2:$ZZ$2,1,MATCH(FN$6,Responses!$1:$1,0))))</f>
        <v>1</v>
      </c>
      <c r="FO7">
        <f>--ISNUMBER(SEARCH(INDEX(Items!$G:$G,MATCH(FO$1,Items!$A:$A,0)),INDEX(Responses!$A$2:$ZZ$2,1,MATCH(FO$6,Responses!$1:$1,0))))</f>
        <v>0</v>
      </c>
      <c r="FP7">
        <f>--ISNUMBER(SEARCH(INDEX(Items!$G:$G,MATCH(FP$1,Items!$A:$A,0)),INDEX(Responses!$A$2:$ZZ$2,1,MATCH(FP$6,Responses!$1:$1,0))))</f>
        <v>0</v>
      </c>
      <c r="FQ7">
        <f>--ISNUMBER(SEARCH(INDEX(Items!$G:$G,MATCH(FQ$1,Items!$A:$A,0)),INDEX(Responses!$A$2:$ZZ$2,1,MATCH(FQ$6,Responses!$1:$1,0))))</f>
        <v>0</v>
      </c>
      <c r="FR7">
        <f>--ISNUMBER(SEARCH(INDEX(Items!$G:$G,MATCH(FR$1,Items!$A:$A,0)),INDEX(Responses!$A$2:$ZZ$2,1,MATCH(FR$6,Responses!$1:$1,0))))</f>
        <v>0</v>
      </c>
      <c r="FS7">
        <f>--ISNUMBER(SEARCH(INDEX(Items!$G:$G,MATCH(FS$1,Items!$A:$A,0)),INDEX(Responses!$A$2:$ZZ$2,1,MATCH(FS$6,Responses!$1:$1,0))))</f>
        <v>1</v>
      </c>
      <c r="FT7">
        <f>--ISNUMBER(SEARCH(INDEX(Items!$G:$G,MATCH(FT$1,Items!$A:$A,0)),INDEX(Responses!$A$2:$ZZ$2,1,MATCH(FT$6,Responses!$1:$1,0))))</f>
        <v>1</v>
      </c>
      <c r="FU7">
        <f>--ISNUMBER(SEARCH(INDEX(Items!$G:$G,MATCH(FU$1,Items!$A:$A,0)),INDEX(Responses!$A$2:$ZZ$2,1,MATCH(FU$6,Responses!$1:$1,0))))</f>
        <v>0</v>
      </c>
    </row>
    <row r="8" spans="1:177" x14ac:dyDescent="0.45">
      <c r="A8" t="str">
        <f>Responses!$D$3</f>
        <v>Tom Lindqvist</v>
      </c>
      <c r="B8">
        <f>IF(INDEX(Responses!$A$3:$ZZ$3,1,MATCH(B$6,Responses!$1:$1,0))&amp;""="","",IF(LEFT(INDEX(Responses!$A$3:$ZZ$3,1,MATCH(B$6,Responses!$1:$1,0)),1)="N","NA",VALUE(LEFT(INDEX(Responses!$A$3:$ZZ$3,1,MATCH(B$6,Responses!$1:$1,0)),1))))</f>
        <v>2</v>
      </c>
      <c r="C8">
        <f>IF(INDEX(Responses!$A$3:$ZZ$3,1,MATCH(C$6,Responses!$1:$1,0))&amp;""="","",IF(LEFT(INDEX(Responses!$A$3:$ZZ$3,1,MATCH(C$6,Responses!$1:$1,0)),1)="N","NA",VALUE(LEFT(INDEX(Responses!$A$3:$ZZ$3,1,MATCH(C$6,Responses!$1:$1,0)),1))))</f>
        <v>2</v>
      </c>
      <c r="D8">
        <f>IF(INDEX(Responses!$A$3:$ZZ$3,1,MATCH(D$6,Responses!$1:$1,0))&amp;""="","",IF(LEFT(INDEX(Responses!$A$3:$ZZ$3,1,MATCH(D$6,Responses!$1:$1,0)),1)="N","NA",VALUE(LEFT(INDEX(Responses!$A$3:$ZZ$3,1,MATCH(D$6,Responses!$1:$1,0)),1))))</f>
        <v>1</v>
      </c>
      <c r="E8">
        <f>IF(INDEX(Responses!$A$3:$ZZ$3,1,MATCH(E$6,Responses!$1:$1,0))&amp;""="","",IF(LEFT(INDEX(Responses!$A$3:$ZZ$3,1,MATCH(E$6,Responses!$1:$1,0)),1)="N","NA",VALUE(LEFT(INDEX(Responses!$A$3:$ZZ$3,1,MATCH(E$6,Responses!$1:$1,0)),1))))</f>
        <v>1</v>
      </c>
      <c r="F8">
        <f>IF(INDEX(Responses!$A$3:$ZZ$3,1,MATCH(F$6,Responses!$1:$1,0))&amp;""="","",IF(LEFT(INDEX(Responses!$A$3:$ZZ$3,1,MATCH(F$6,Responses!$1:$1,0)),1)="N","NA",VALUE(LEFT(INDEX(Responses!$A$3:$ZZ$3,1,MATCH(F$6,Responses!$1:$1,0)),1))))</f>
        <v>1</v>
      </c>
      <c r="G8">
        <f>IF(INDEX(Responses!$A$3:$ZZ$3,1,MATCH(G$6,Responses!$1:$1,0))&amp;""="","",IF(LEFT(INDEX(Responses!$A$3:$ZZ$3,1,MATCH(G$6,Responses!$1:$1,0)),1)="N","NA",VALUE(LEFT(INDEX(Responses!$A$3:$ZZ$3,1,MATCH(G$6,Responses!$1:$1,0)),1))))</f>
        <v>1</v>
      </c>
      <c r="H8">
        <f>IF(INDEX(Responses!$A$3:$ZZ$3,1,MATCH(H$6,Responses!$1:$1,0))&amp;""="","",IF(LEFT(INDEX(Responses!$A$3:$ZZ$3,1,MATCH(H$6,Responses!$1:$1,0)),1)="N","NA",VALUE(LEFT(INDEX(Responses!$A$3:$ZZ$3,1,MATCH(H$6,Responses!$1:$1,0)),1))))</f>
        <v>4</v>
      </c>
      <c r="I8">
        <f>IF(INDEX(Responses!$A$3:$ZZ$3,1,MATCH(I$6,Responses!$1:$1,0))&amp;""="","",IF(LEFT(INDEX(Responses!$A$3:$ZZ$3,1,MATCH(I$6,Responses!$1:$1,0)),1)="N","NA",VALUE(LEFT(INDEX(Responses!$A$3:$ZZ$3,1,MATCH(I$6,Responses!$1:$1,0)),1))))</f>
        <v>5</v>
      </c>
      <c r="J8">
        <f>IF(INDEX(Responses!$A$3:$ZZ$3,1,MATCH(J$6,Responses!$1:$1,0))&amp;""="","",IF(LEFT(INDEX(Responses!$A$3:$ZZ$3,1,MATCH(J$6,Responses!$1:$1,0)),1)="N","NA",VALUE(LEFT(INDEX(Responses!$A$3:$ZZ$3,1,MATCH(J$6,Responses!$1:$1,0)),1))))</f>
        <v>5</v>
      </c>
      <c r="K8">
        <f>IF(INDEX(Responses!$A$3:$ZZ$3,1,MATCH(K$6,Responses!$1:$1,0))&amp;""="","",IF(LEFT(INDEX(Responses!$A$3:$ZZ$3,1,MATCH(K$6,Responses!$1:$1,0)),1)="N","NA",VALUE(LEFT(INDEX(Responses!$A$3:$ZZ$3,1,MATCH(K$6,Responses!$1:$1,0)),1))))</f>
        <v>3</v>
      </c>
      <c r="L8">
        <f>IF(INDEX(Responses!$A$3:$ZZ$3,1,MATCH(L$6,Responses!$1:$1,0))&amp;""="","",IF(LEFT(INDEX(Responses!$A$3:$ZZ$3,1,MATCH(L$6,Responses!$1:$1,0)),1)="N","NA",VALUE(LEFT(INDEX(Responses!$A$3:$ZZ$3,1,MATCH(L$6,Responses!$1:$1,0)),1))))</f>
        <v>5</v>
      </c>
      <c r="M8">
        <f>IF(INDEX(Responses!$A$3:$ZZ$3,1,MATCH(M$6,Responses!$1:$1,0))&amp;""="","",IF(LEFT(INDEX(Responses!$A$3:$ZZ$3,1,MATCH(M$6,Responses!$1:$1,0)),1)="N","NA",VALUE(LEFT(INDEX(Responses!$A$3:$ZZ$3,1,MATCH(M$6,Responses!$1:$1,0)),1))))</f>
        <v>4</v>
      </c>
      <c r="N8">
        <f>IF(INDEX(Responses!$A$3:$ZZ$3,1,MATCH(N$6,Responses!$1:$1,0))&amp;""="","",IF(LEFT(INDEX(Responses!$A$3:$ZZ$3,1,MATCH(N$6,Responses!$1:$1,0)),1)="N","NA",VALUE(LEFT(INDEX(Responses!$A$3:$ZZ$3,1,MATCH(N$6,Responses!$1:$1,0)),1))))</f>
        <v>4</v>
      </c>
      <c r="O8">
        <f>IF(INDEX(Responses!$A$3:$ZZ$3,1,MATCH(O$6,Responses!$1:$1,0))&amp;""="","",IF(LEFT(INDEX(Responses!$A$3:$ZZ$3,1,MATCH(O$6,Responses!$1:$1,0)),1)="N","NA",VALUE(LEFT(INDEX(Responses!$A$3:$ZZ$3,1,MATCH(O$6,Responses!$1:$1,0)),1))))</f>
        <v>4</v>
      </c>
      <c r="P8">
        <f>IF(INDEX(Responses!$A$3:$ZZ$3,1,MATCH(P$6,Responses!$1:$1,0))&amp;""="","",IF(LEFT(INDEX(Responses!$A$3:$ZZ$3,1,MATCH(P$6,Responses!$1:$1,0)),1)="N","NA",VALUE(LEFT(INDEX(Responses!$A$3:$ZZ$3,1,MATCH(P$6,Responses!$1:$1,0)),1))))</f>
        <v>1</v>
      </c>
      <c r="Q8">
        <f>IF(INDEX(Responses!$A$3:$ZZ$3,1,MATCH(Q$6,Responses!$1:$1,0))&amp;""="","",IF(LEFT(INDEX(Responses!$A$3:$ZZ$3,1,MATCH(Q$6,Responses!$1:$1,0)),1)="N","NA",VALUE(LEFT(INDEX(Responses!$A$3:$ZZ$3,1,MATCH(Q$6,Responses!$1:$1,0)),1))))</f>
        <v>4</v>
      </c>
      <c r="R8">
        <f>IF(INDEX(Responses!$A$3:$ZZ$3,1,MATCH(R$6,Responses!$1:$1,0))&amp;""="","",IF(LEFT(INDEX(Responses!$A$3:$ZZ$3,1,MATCH(R$6,Responses!$1:$1,0)),1)="N","NA",VALUE(LEFT(INDEX(Responses!$A$3:$ZZ$3,1,MATCH(R$6,Responses!$1:$1,0)),1))))</f>
        <v>2</v>
      </c>
      <c r="S8">
        <f>IF(INDEX(Responses!$A$3:$ZZ$3,1,MATCH(S$6,Responses!$1:$1,0))&amp;""="","",IF(LEFT(INDEX(Responses!$A$3:$ZZ$3,1,MATCH(S$6,Responses!$1:$1,0)),1)="N","NA",VALUE(LEFT(INDEX(Responses!$A$3:$ZZ$3,1,MATCH(S$6,Responses!$1:$1,0)),1))))</f>
        <v>2</v>
      </c>
      <c r="T8">
        <f>IF(INDEX(Responses!$A$3:$ZZ$3,1,MATCH(T$6,Responses!$1:$1,0))&amp;""="","",IF(LEFT(INDEX(Responses!$A$3:$ZZ$3,1,MATCH(T$6,Responses!$1:$1,0)),1)="N","NA",VALUE(LEFT(INDEX(Responses!$A$3:$ZZ$3,1,MATCH(T$6,Responses!$1:$1,0)),1))))</f>
        <v>4</v>
      </c>
      <c r="U8">
        <f>IF(INDEX(Responses!$A$3:$ZZ$3,1,MATCH(U$6,Responses!$1:$1,0))&amp;""="","",IF(LEFT(INDEX(Responses!$A$3:$ZZ$3,1,MATCH(U$6,Responses!$1:$1,0)),1)="N","NA",VALUE(LEFT(INDEX(Responses!$A$3:$ZZ$3,1,MATCH(U$6,Responses!$1:$1,0)),1))))</f>
        <v>5</v>
      </c>
      <c r="V8">
        <f>IF(INDEX(Responses!$A$3:$ZZ$3,1,MATCH(V$6,Responses!$1:$1,0))&amp;""="","",IF(LEFT(INDEX(Responses!$A$3:$ZZ$3,1,MATCH(V$6,Responses!$1:$1,0)),1)="N","NA",VALUE(LEFT(INDEX(Responses!$A$3:$ZZ$3,1,MATCH(V$6,Responses!$1:$1,0)),1))))</f>
        <v>5</v>
      </c>
      <c r="W8">
        <f>IF(INDEX(Responses!$A$3:$ZZ$3,1,MATCH(W$6,Responses!$1:$1,0))&amp;""="","",IF(LEFT(INDEX(Responses!$A$3:$ZZ$3,1,MATCH(W$6,Responses!$1:$1,0)),1)="N","NA",VALUE(LEFT(INDEX(Responses!$A$3:$ZZ$3,1,MATCH(W$6,Responses!$1:$1,0)),1))))</f>
        <v>2</v>
      </c>
      <c r="X8">
        <f>IF(INDEX(Responses!$A$3:$ZZ$3,1,MATCH(X$6,Responses!$1:$1,0))&amp;""="","",IF(LEFT(INDEX(Responses!$A$3:$ZZ$3,1,MATCH(X$6,Responses!$1:$1,0)),1)="N","NA",VALUE(LEFT(INDEX(Responses!$A$3:$ZZ$3,1,MATCH(X$6,Responses!$1:$1,0)),1))))</f>
        <v>2</v>
      </c>
      <c r="Y8">
        <f>IF(INDEX(Responses!$A$3:$ZZ$3,1,MATCH(Y$6,Responses!$1:$1,0))&amp;""="","",IF(LEFT(INDEX(Responses!$A$3:$ZZ$3,1,MATCH(Y$6,Responses!$1:$1,0)),1)="N","NA",VALUE(LEFT(INDEX(Responses!$A$3:$ZZ$3,1,MATCH(Y$6,Responses!$1:$1,0)),1))))</f>
        <v>2</v>
      </c>
      <c r="Z8">
        <f>IF(INDEX(Responses!$A$3:$ZZ$3,1,MATCH(Z$6,Responses!$1:$1,0))&amp;""="","",IF(LEFT(INDEX(Responses!$A$3:$ZZ$3,1,MATCH(Z$6,Responses!$1:$1,0)),1)="N","NA",VALUE(LEFT(INDEX(Responses!$A$3:$ZZ$3,1,MATCH(Z$6,Responses!$1:$1,0)),1))))</f>
        <v>2</v>
      </c>
      <c r="AA8">
        <f>IF(INDEX(Responses!$A$3:$ZZ$3,1,MATCH(AA$6,Responses!$1:$1,0))&amp;""="","",IF(LEFT(INDEX(Responses!$A$3:$ZZ$3,1,MATCH(AA$6,Responses!$1:$1,0)),1)="N","NA",VALUE(LEFT(INDEX(Responses!$A$3:$ZZ$3,1,MATCH(AA$6,Responses!$1:$1,0)),1))))</f>
        <v>5</v>
      </c>
      <c r="AB8">
        <f>IF(INDEX(Responses!$A$3:$ZZ$3,1,MATCH(AB$6,Responses!$1:$1,0))&amp;""="","",IF(LEFT(INDEX(Responses!$A$3:$ZZ$3,1,MATCH(AB$6,Responses!$1:$1,0)),1)="N","NA",VALUE(LEFT(INDEX(Responses!$A$3:$ZZ$3,1,MATCH(AB$6,Responses!$1:$1,0)),1))))</f>
        <v>4</v>
      </c>
      <c r="AC8">
        <f>IF(INDEX(Responses!$A$3:$ZZ$3,1,MATCH(AC$6,Responses!$1:$1,0))&amp;""="","",IF(LEFT(INDEX(Responses!$A$3:$ZZ$3,1,MATCH(AC$6,Responses!$1:$1,0)),1)="N","NA",VALUE(LEFT(INDEX(Responses!$A$3:$ZZ$3,1,MATCH(AC$6,Responses!$1:$1,0)),1))))</f>
        <v>2</v>
      </c>
      <c r="AD8">
        <f>IF(INDEX(Responses!$A$3:$ZZ$3,1,MATCH(AD$6,Responses!$1:$1,0))&amp;""="","",IF(LEFT(INDEX(Responses!$A$3:$ZZ$3,1,MATCH(AD$6,Responses!$1:$1,0)),1)="N","NA",VALUE(LEFT(INDEX(Responses!$A$3:$ZZ$3,1,MATCH(AD$6,Responses!$1:$1,0)),1))))</f>
        <v>1</v>
      </c>
      <c r="AE8">
        <f>IF(INDEX(Responses!$A$3:$ZZ$3,1,MATCH(AE$6,Responses!$1:$1,0))&amp;""="","",IF(LEFT(INDEX(Responses!$A$3:$ZZ$3,1,MATCH(AE$6,Responses!$1:$1,0)),1)="N","NA",VALUE(LEFT(INDEX(Responses!$A$3:$ZZ$3,1,MATCH(AE$6,Responses!$1:$1,0)),1))))</f>
        <v>3</v>
      </c>
      <c r="AF8">
        <f>IF(INDEX(Responses!$A$3:$ZZ$3,1,MATCH(AF$6,Responses!$1:$1,0))&amp;""="","",IF(LEFT(INDEX(Responses!$A$3:$ZZ$3,1,MATCH(AF$6,Responses!$1:$1,0)),1)="N","NA",VALUE(LEFT(INDEX(Responses!$A$3:$ZZ$3,1,MATCH(AF$6,Responses!$1:$1,0)),1))))</f>
        <v>5</v>
      </c>
      <c r="AG8">
        <f>IF(INDEX(Responses!$A$3:$ZZ$3,1,MATCH(AG$6,Responses!$1:$1,0))&amp;""="","",IF(LEFT(INDEX(Responses!$A$3:$ZZ$3,1,MATCH(AG$6,Responses!$1:$1,0)),1)="N","NA",VALUE(LEFT(INDEX(Responses!$A$3:$ZZ$3,1,MATCH(AG$6,Responses!$1:$1,0)),1))))</f>
        <v>2</v>
      </c>
      <c r="AH8">
        <f>IF(INDEX(Responses!$A$3:$ZZ$3,1,MATCH(AH$6,Responses!$1:$1,0))&amp;""="","",IF(LEFT(INDEX(Responses!$A$3:$ZZ$3,1,MATCH(AH$6,Responses!$1:$1,0)),1)="N","NA",VALUE(LEFT(INDEX(Responses!$A$3:$ZZ$3,1,MATCH(AH$6,Responses!$1:$1,0)),1))))</f>
        <v>2</v>
      </c>
      <c r="AI8">
        <f>IF(INDEX(Responses!$A$3:$ZZ$3,1,MATCH(AI$6,Responses!$1:$1,0))&amp;""="","",IF(LEFT(INDEX(Responses!$A$3:$ZZ$3,1,MATCH(AI$6,Responses!$1:$1,0)),1)="N","NA",VALUE(LEFT(INDEX(Responses!$A$3:$ZZ$3,1,MATCH(AI$6,Responses!$1:$1,0)),1))))</f>
        <v>5</v>
      </c>
      <c r="AJ8">
        <f>IF(INDEX(Responses!$A$3:$ZZ$3,1,MATCH(AJ$6,Responses!$1:$1,0))&amp;""="","",IF(LEFT(INDEX(Responses!$A$3:$ZZ$3,1,MATCH(AJ$6,Responses!$1:$1,0)),1)="N","NA",VALUE(LEFT(INDEX(Responses!$A$3:$ZZ$3,1,MATCH(AJ$6,Responses!$1:$1,0)),1))))</f>
        <v>4</v>
      </c>
      <c r="AK8">
        <f>IF(INDEX(Responses!$A$3:$ZZ$3,1,MATCH(AK$6,Responses!$1:$1,0))&amp;""="","",IF(LEFT(INDEX(Responses!$A$3:$ZZ$3,1,MATCH(AK$6,Responses!$1:$1,0)),1)="N","NA",VALUE(LEFT(INDEX(Responses!$A$3:$ZZ$3,1,MATCH(AK$6,Responses!$1:$1,0)),1))))</f>
        <v>1</v>
      </c>
      <c r="AL8">
        <f>IF(INDEX(Responses!$A$3:$ZZ$3,1,MATCH(AL$6,Responses!$1:$1,0))&amp;""="","",IF(LEFT(INDEX(Responses!$A$3:$ZZ$3,1,MATCH(AL$6,Responses!$1:$1,0)),1)="N","NA",VALUE(LEFT(INDEX(Responses!$A$3:$ZZ$3,1,MATCH(AL$6,Responses!$1:$1,0)),1))))</f>
        <v>5</v>
      </c>
      <c r="AM8">
        <f>IF(INDEX(Responses!$A$3:$ZZ$3,1,MATCH(AM$6,Responses!$1:$1,0))&amp;""="","",IF(LEFT(INDEX(Responses!$A$3:$ZZ$3,1,MATCH(AM$6,Responses!$1:$1,0)),1)="N","NA",VALUE(LEFT(INDEX(Responses!$A$3:$ZZ$3,1,MATCH(AM$6,Responses!$1:$1,0)),1))))</f>
        <v>3</v>
      </c>
      <c r="AN8">
        <f>IF(INDEX(Responses!$A$3:$ZZ$3,1,MATCH(AN$6,Responses!$1:$1,0))&amp;""="","",IF(LEFT(INDEX(Responses!$A$3:$ZZ$3,1,MATCH(AN$6,Responses!$1:$1,0)),1)="N","NA",VALUE(LEFT(INDEX(Responses!$A$3:$ZZ$3,1,MATCH(AN$6,Responses!$1:$1,0)),1))))</f>
        <v>1</v>
      </c>
      <c r="AO8">
        <f>IF(INDEX(Responses!$A$3:$ZZ$3,1,MATCH(AO$6,Responses!$1:$1,0))&amp;""="","",IF(LEFT(INDEX(Responses!$A$3:$ZZ$3,1,MATCH(AO$6,Responses!$1:$1,0)),1)="N","NA",VALUE(LEFT(INDEX(Responses!$A$3:$ZZ$3,1,MATCH(AO$6,Responses!$1:$1,0)),1))))</f>
        <v>2</v>
      </c>
      <c r="AP8">
        <f>IF(INDEX(Responses!$A$3:$ZZ$3,1,MATCH(AP$6,Responses!$1:$1,0))&amp;""="","",IF(LEFT(INDEX(Responses!$A$3:$ZZ$3,1,MATCH(AP$6,Responses!$1:$1,0)),1)="N","NA",VALUE(LEFT(INDEX(Responses!$A$3:$ZZ$3,1,MATCH(AP$6,Responses!$1:$1,0)),1))))</f>
        <v>5</v>
      </c>
      <c r="AQ8">
        <f>IF(INDEX(Responses!$A$3:$ZZ$3,1,MATCH(AQ$6,Responses!$1:$1,0))&amp;""="","",IF(LEFT(INDEX(Responses!$A$3:$ZZ$3,1,MATCH(AQ$6,Responses!$1:$1,0)),1)="N","NA",VALUE(LEFT(INDEX(Responses!$A$3:$ZZ$3,1,MATCH(AQ$6,Responses!$1:$1,0)),1))))</f>
        <v>5</v>
      </c>
      <c r="AR8">
        <f>IF(INDEX(Responses!$A$3:$ZZ$3,1,MATCH(AR$6,Responses!$1:$1,0))&amp;""="","",IF(LEFT(INDEX(Responses!$A$3:$ZZ$3,1,MATCH(AR$6,Responses!$1:$1,0)),1)="N","NA",VALUE(LEFT(INDEX(Responses!$A$3:$ZZ$3,1,MATCH(AR$6,Responses!$1:$1,0)),1))))</f>
        <v>4</v>
      </c>
      <c r="AS8">
        <f>IF(INDEX(Responses!$A$3:$ZZ$3,1,MATCH(AS$6,Responses!$1:$1,0))&amp;""="","",IF(LEFT(INDEX(Responses!$A$3:$ZZ$3,1,MATCH(AS$6,Responses!$1:$1,0)),1)="N","NA",VALUE(LEFT(INDEX(Responses!$A$3:$ZZ$3,1,MATCH(AS$6,Responses!$1:$1,0)),1))))</f>
        <v>5</v>
      </c>
      <c r="AT8">
        <f>IF(INDEX(Responses!$A$3:$ZZ$3,1,MATCH(AT$6,Responses!$1:$1,0))&amp;""="","",IF(LEFT(INDEX(Responses!$A$3:$ZZ$3,1,MATCH(AT$6,Responses!$1:$1,0)),1)="N","NA",VALUE(LEFT(INDEX(Responses!$A$3:$ZZ$3,1,MATCH(AT$6,Responses!$1:$1,0)),1))))</f>
        <v>1</v>
      </c>
      <c r="AU8">
        <f>IF(INDEX(Responses!$A$3:$ZZ$3,1,MATCH(AU$6,Responses!$1:$1,0))&amp;""="","",IF(LEFT(INDEX(Responses!$A$3:$ZZ$3,1,MATCH(AU$6,Responses!$1:$1,0)),1)="N","NA",VALUE(LEFT(INDEX(Responses!$A$3:$ZZ$3,1,MATCH(AU$6,Responses!$1:$1,0)),1))))</f>
        <v>4</v>
      </c>
      <c r="AV8">
        <f>IF(INDEX(Responses!$A$3:$ZZ$3,1,MATCH(AV$6,Responses!$1:$1,0))&amp;""="","",IF(LEFT(INDEX(Responses!$A$3:$ZZ$3,1,MATCH(AV$6,Responses!$1:$1,0)),1)="N","NA",VALUE(LEFT(INDEX(Responses!$A$3:$ZZ$3,1,MATCH(AV$6,Responses!$1:$1,0)),1))))</f>
        <v>3</v>
      </c>
      <c r="AW8">
        <f>IF(INDEX(Responses!$A$3:$ZZ$3,1,MATCH(AW$6,Responses!$1:$1,0))&amp;""="","",IF(LEFT(INDEX(Responses!$A$3:$ZZ$3,1,MATCH(AW$6,Responses!$1:$1,0)),1)="N","NA",VALUE(LEFT(INDEX(Responses!$A$3:$ZZ$3,1,MATCH(AW$6,Responses!$1:$1,0)),1))))</f>
        <v>4</v>
      </c>
      <c r="AX8">
        <f>IF(INDEX(Responses!$A$3:$ZZ$3,1,MATCH(AX$6,Responses!$1:$1,0))&amp;""="","",IF(LEFT(INDEX(Responses!$A$3:$ZZ$3,1,MATCH(AX$6,Responses!$1:$1,0)),1)="N","NA",VALUE(LEFT(INDEX(Responses!$A$3:$ZZ$3,1,MATCH(AX$6,Responses!$1:$1,0)),1))))</f>
        <v>5</v>
      </c>
      <c r="AY8">
        <f>IF(INDEX(Responses!$A$3:$ZZ$3,1,MATCH(AY$6,Responses!$1:$1,0))&amp;""="","",IF(LEFT(INDEX(Responses!$A$3:$ZZ$3,1,MATCH(AY$6,Responses!$1:$1,0)),1)="N","NA",VALUE(LEFT(INDEX(Responses!$A$3:$ZZ$3,1,MATCH(AY$6,Responses!$1:$1,0)),1))))</f>
        <v>2</v>
      </c>
      <c r="AZ8">
        <f>IF(INDEX(Responses!$A$3:$ZZ$3,1,MATCH(AZ$6,Responses!$1:$1,0))&amp;""="","",IF(LEFT(INDEX(Responses!$A$3:$ZZ$3,1,MATCH(AZ$6,Responses!$1:$1,0)),1)="N","NA",VALUE(LEFT(INDEX(Responses!$A$3:$ZZ$3,1,MATCH(AZ$6,Responses!$1:$1,0)),1))))</f>
        <v>4</v>
      </c>
      <c r="BA8">
        <f>IF(INDEX(Responses!$A$3:$ZZ$3,1,MATCH(BA$6,Responses!$1:$1,0))&amp;""="","",IF(LEFT(INDEX(Responses!$A$3:$ZZ$3,1,MATCH(BA$6,Responses!$1:$1,0)),1)="N","NA",VALUE(LEFT(INDEX(Responses!$A$3:$ZZ$3,1,MATCH(BA$6,Responses!$1:$1,0)),1))))</f>
        <v>1</v>
      </c>
      <c r="BB8">
        <f>IF(INDEX(Responses!$A$3:$ZZ$3,1,MATCH(BB$6,Responses!$1:$1,0))&amp;""="","",IF(LEFT(INDEX(Responses!$A$3:$ZZ$3,1,MATCH(BB$6,Responses!$1:$1,0)),1)="N","NA",VALUE(LEFT(INDEX(Responses!$A$3:$ZZ$3,1,MATCH(BB$6,Responses!$1:$1,0)),1))))</f>
        <v>4</v>
      </c>
      <c r="BC8">
        <f>IF(INDEX(Responses!$A$3:$ZZ$3,1,MATCH(BC$6,Responses!$1:$1,0))&amp;""="","",IF(LEFT(INDEX(Responses!$A$3:$ZZ$3,1,MATCH(BC$6,Responses!$1:$1,0)),1)="N","NA",VALUE(LEFT(INDEX(Responses!$A$3:$ZZ$3,1,MATCH(BC$6,Responses!$1:$1,0)),1))))</f>
        <v>1</v>
      </c>
      <c r="BD8">
        <f>IF(INDEX(Responses!$A$3:$ZZ$3,1,MATCH(BD$6,Responses!$1:$1,0))&amp;""="","",IF(LEFT(INDEX(Responses!$A$3:$ZZ$3,1,MATCH(BD$6,Responses!$1:$1,0)),1)="N","NA",VALUE(LEFT(INDEX(Responses!$A$3:$ZZ$3,1,MATCH(BD$6,Responses!$1:$1,0)),1))))</f>
        <v>2</v>
      </c>
      <c r="BE8">
        <f>IF(INDEX(Responses!$A$3:$ZZ$3,1,MATCH(BE$6,Responses!$1:$1,0))&amp;""="","",IF(LEFT(INDEX(Responses!$A$3:$ZZ$3,1,MATCH(BE$6,Responses!$1:$1,0)),1)="N","NA",VALUE(LEFT(INDEX(Responses!$A$3:$ZZ$3,1,MATCH(BE$6,Responses!$1:$1,0)),1))))</f>
        <v>5</v>
      </c>
      <c r="BF8">
        <f>IF(INDEX(Responses!$A$3:$ZZ$3,1,MATCH(BF$6,Responses!$1:$1,0))&amp;""="","",IF(LEFT(INDEX(Responses!$A$3:$ZZ$3,1,MATCH(BF$6,Responses!$1:$1,0)),1)="N","NA",VALUE(LEFT(INDEX(Responses!$A$3:$ZZ$3,1,MATCH(BF$6,Responses!$1:$1,0)),1))))</f>
        <v>2</v>
      </c>
      <c r="BG8">
        <f>IF(INDEX(Responses!$A$3:$ZZ$3,1,MATCH(BG$6,Responses!$1:$1,0))&amp;""="","",IF(LEFT(INDEX(Responses!$A$3:$ZZ$3,1,MATCH(BG$6,Responses!$1:$1,0)),1)="N","NA",VALUE(LEFT(INDEX(Responses!$A$3:$ZZ$3,1,MATCH(BG$6,Responses!$1:$1,0)),1))))</f>
        <v>5</v>
      </c>
      <c r="BH8">
        <f>IF(INDEX(Responses!$A$3:$ZZ$3,1,MATCH(BH$6,Responses!$1:$1,0))&amp;""="","",IF(LEFT(INDEX(Responses!$A$3:$ZZ$3,1,MATCH(BH$6,Responses!$1:$1,0)),1)="N","NA",VALUE(LEFT(INDEX(Responses!$A$3:$ZZ$3,1,MATCH(BH$6,Responses!$1:$1,0)),1))))</f>
        <v>5</v>
      </c>
      <c r="BI8">
        <f>IF(INDEX(Responses!$A$3:$ZZ$3,1,MATCH(BI$6,Responses!$1:$1,0))&amp;""="","",IF(LEFT(INDEX(Responses!$A$3:$ZZ$3,1,MATCH(BI$6,Responses!$1:$1,0)),1)="N","NA",VALUE(LEFT(INDEX(Responses!$A$3:$ZZ$3,1,MATCH(BI$6,Responses!$1:$1,0)),1))))</f>
        <v>2</v>
      </c>
      <c r="BJ8">
        <f>IF(INDEX(Responses!$A$3:$ZZ$3,1,MATCH(BJ$6,Responses!$1:$1,0))&amp;""="","",IF(LEFT(INDEX(Responses!$A$3:$ZZ$3,1,MATCH(BJ$6,Responses!$1:$1,0)),1)="N","NA",VALUE(LEFT(INDEX(Responses!$A$3:$ZZ$3,1,MATCH(BJ$6,Responses!$1:$1,0)),1))))</f>
        <v>4</v>
      </c>
      <c r="BK8">
        <f>IF(INDEX(Responses!$A$3:$ZZ$3,1,MATCH(BK$6,Responses!$1:$1,0))&amp;""="","",IF(LEFT(INDEX(Responses!$A$3:$ZZ$3,1,MATCH(BK$6,Responses!$1:$1,0)),1)="N","NA",VALUE(LEFT(INDEX(Responses!$A$3:$ZZ$3,1,MATCH(BK$6,Responses!$1:$1,0)),1))))</f>
        <v>2</v>
      </c>
      <c r="BL8">
        <f>IF(INDEX(Responses!$A$3:$ZZ$3,1,MATCH(BL$6,Responses!$1:$1,0))&amp;""="","",IF(LEFT(INDEX(Responses!$A$3:$ZZ$3,1,MATCH(BL$6,Responses!$1:$1,0)),1)="N","NA",VALUE(LEFT(INDEX(Responses!$A$3:$ZZ$3,1,MATCH(BL$6,Responses!$1:$1,0)),1))))</f>
        <v>2</v>
      </c>
      <c r="BM8">
        <f>IF(INDEX(Responses!$A$3:$ZZ$3,1,MATCH(BM$6,Responses!$1:$1,0))&amp;""="","",IF(LEFT(INDEX(Responses!$A$3:$ZZ$3,1,MATCH(BM$6,Responses!$1:$1,0)),1)="N","NA",VALUE(LEFT(INDEX(Responses!$A$3:$ZZ$3,1,MATCH(BM$6,Responses!$1:$1,0)),1))))</f>
        <v>4</v>
      </c>
      <c r="BN8">
        <f>IF(INDEX(Responses!$A$3:$ZZ$3,1,MATCH(BN$6,Responses!$1:$1,0))&amp;""="","",IF(LEFT(INDEX(Responses!$A$3:$ZZ$3,1,MATCH(BN$6,Responses!$1:$1,0)),1)="N","NA",VALUE(LEFT(INDEX(Responses!$A$3:$ZZ$3,1,MATCH(BN$6,Responses!$1:$1,0)),1))))</f>
        <v>5</v>
      </c>
      <c r="BO8">
        <f>IF(INDEX(Responses!$A$3:$ZZ$3,1,MATCH(BO$6,Responses!$1:$1,0))&amp;""="","",IF(LEFT(INDEX(Responses!$A$3:$ZZ$3,1,MATCH(BO$6,Responses!$1:$1,0)),1)="N","NA",VALUE(LEFT(INDEX(Responses!$A$3:$ZZ$3,1,MATCH(BO$6,Responses!$1:$1,0)),1))))</f>
        <v>3</v>
      </c>
      <c r="BP8">
        <f>IF(INDEX(Responses!$A$3:$ZZ$3,1,MATCH(BP$6,Responses!$1:$1,0))&amp;""="","",IF(LEFT(INDEX(Responses!$A$3:$ZZ$3,1,MATCH(BP$6,Responses!$1:$1,0)),1)="N","NA",VALUE(LEFT(INDEX(Responses!$A$3:$ZZ$3,1,MATCH(BP$6,Responses!$1:$1,0)),1))))</f>
        <v>4</v>
      </c>
      <c r="BQ8">
        <f>IF(INDEX(Responses!$A$3:$ZZ$3,1,MATCH(BQ$6,Responses!$1:$1,0))&amp;""="","",IF(LEFT(INDEX(Responses!$A$3:$ZZ$3,1,MATCH(BQ$6,Responses!$1:$1,0)),1)="N","NA",VALUE(LEFT(INDEX(Responses!$A$3:$ZZ$3,1,MATCH(BQ$6,Responses!$1:$1,0)),1))))</f>
        <v>3</v>
      </c>
      <c r="BR8">
        <f>IF(INDEX(Responses!$A$3:$ZZ$3,1,MATCH(BR$6,Responses!$1:$1,0))&amp;""="","",IF(LEFT(INDEX(Responses!$A$3:$ZZ$3,1,MATCH(BR$6,Responses!$1:$1,0)),1)="N","NA",VALUE(LEFT(INDEX(Responses!$A$3:$ZZ$3,1,MATCH(BR$6,Responses!$1:$1,0)),1))))</f>
        <v>1</v>
      </c>
      <c r="BS8">
        <f>IF(INDEX(Responses!$A$3:$ZZ$3,1,MATCH(BS$6,Responses!$1:$1,0))&amp;""="","",IF(LEFT(INDEX(Responses!$A$3:$ZZ$3,1,MATCH(BS$6,Responses!$1:$1,0)),1)="N","NA",VALUE(LEFT(INDEX(Responses!$A$3:$ZZ$3,1,MATCH(BS$6,Responses!$1:$1,0)),1))))</f>
        <v>3</v>
      </c>
      <c r="BT8">
        <f>IF(INDEX(Responses!$A$3:$ZZ$3,1,MATCH(BT$6,Responses!$1:$1,0))&amp;""="","",IF(LEFT(INDEX(Responses!$A$3:$ZZ$3,1,MATCH(BT$6,Responses!$1:$1,0)),1)="N","NA",VALUE(LEFT(INDEX(Responses!$A$3:$ZZ$3,1,MATCH(BT$6,Responses!$1:$1,0)),1))))</f>
        <v>4</v>
      </c>
      <c r="BU8">
        <f>IF(INDEX(Responses!$A$3:$ZZ$3,1,MATCH(BU$6,Responses!$1:$1,0))&amp;""="","",IF(LEFT(INDEX(Responses!$A$3:$ZZ$3,1,MATCH(BU$6,Responses!$1:$1,0)),1)="N","NA",VALUE(LEFT(INDEX(Responses!$A$3:$ZZ$3,1,MATCH(BU$6,Responses!$1:$1,0)),1))))</f>
        <v>4</v>
      </c>
      <c r="BV8">
        <f>IF(INDEX(Responses!$A$3:$ZZ$3,1,MATCH(BV$6,Responses!$1:$1,0))&amp;""="","",IF(LEFT(INDEX(Responses!$A$3:$ZZ$3,1,MATCH(BV$6,Responses!$1:$1,0)),1)="N","NA",VALUE(LEFT(INDEX(Responses!$A$3:$ZZ$3,1,MATCH(BV$6,Responses!$1:$1,0)),1))))</f>
        <v>4</v>
      </c>
      <c r="BW8">
        <f>IF(INDEX(Responses!$A$3:$ZZ$3,1,MATCH(BW$6,Responses!$1:$1,0))&amp;""="","",IF(LEFT(INDEX(Responses!$A$3:$ZZ$3,1,MATCH(BW$6,Responses!$1:$1,0)),1)="N","NA",VALUE(LEFT(INDEX(Responses!$A$3:$ZZ$3,1,MATCH(BW$6,Responses!$1:$1,0)),1))))</f>
        <v>4</v>
      </c>
      <c r="BX8">
        <f>IF(INDEX(Responses!$A$3:$ZZ$3,1,MATCH(BX$6,Responses!$1:$1,0))&amp;""="","",IF(LEFT(INDEX(Responses!$A$3:$ZZ$3,1,MATCH(BX$6,Responses!$1:$1,0)),1)="N","NA",VALUE(LEFT(INDEX(Responses!$A$3:$ZZ$3,1,MATCH(BX$6,Responses!$1:$1,0)),1))))</f>
        <v>1</v>
      </c>
      <c r="BY8">
        <f>IF(INDEX(Responses!$A$3:$ZZ$3,1,MATCH(BY$6,Responses!$1:$1,0))&amp;""="","",IF(LEFT(INDEX(Responses!$A$3:$ZZ$3,1,MATCH(BY$6,Responses!$1:$1,0)),1)="N","NA",VALUE(LEFT(INDEX(Responses!$A$3:$ZZ$3,1,MATCH(BY$6,Responses!$1:$1,0)),1))))</f>
        <v>2</v>
      </c>
      <c r="BZ8">
        <f>IF(INDEX(Responses!$A$3:$ZZ$3,1,MATCH(BZ$6,Responses!$1:$1,0))&amp;""="","",IF(LEFT(INDEX(Responses!$A$3:$ZZ$3,1,MATCH(BZ$6,Responses!$1:$1,0)),1)="N","NA",VALUE(LEFT(INDEX(Responses!$A$3:$ZZ$3,1,MATCH(BZ$6,Responses!$1:$1,0)),1))))</f>
        <v>3</v>
      </c>
      <c r="CA8">
        <f>IF(INDEX(Responses!$A$3:$ZZ$3,1,MATCH(CA$6,Responses!$1:$1,0))&amp;""="","",IF(LEFT(INDEX(Responses!$A$3:$ZZ$3,1,MATCH(CA$6,Responses!$1:$1,0)),1)="N","NA",VALUE(LEFT(INDEX(Responses!$A$3:$ZZ$3,1,MATCH(CA$6,Responses!$1:$1,0)),1))))</f>
        <v>4</v>
      </c>
      <c r="CB8">
        <f>IF(INDEX(Responses!$A$3:$ZZ$3,1,MATCH(CB$6,Responses!$1:$1,0))&amp;""="","",IF(LEFT(INDEX(Responses!$A$3:$ZZ$3,1,MATCH(CB$6,Responses!$1:$1,0)),1)="N","NA",VALUE(LEFT(INDEX(Responses!$A$3:$ZZ$3,1,MATCH(CB$6,Responses!$1:$1,0)),1))))</f>
        <v>4</v>
      </c>
      <c r="CC8">
        <f>IF(INDEX(Responses!$A$3:$ZZ$3,1,MATCH(CC$6,Responses!$1:$1,0))&amp;""="","",IF(LEFT(INDEX(Responses!$A$3:$ZZ$3,1,MATCH(CC$6,Responses!$1:$1,0)),1)="N","NA",VALUE(LEFT(INDEX(Responses!$A$3:$ZZ$3,1,MATCH(CC$6,Responses!$1:$1,0)),1))))</f>
        <v>2</v>
      </c>
      <c r="CD8">
        <f>IF(INDEX(Responses!$A$3:$ZZ$3,1,MATCH(CD$6,Responses!$1:$1,0))&amp;""="","",IF(LEFT(INDEX(Responses!$A$3:$ZZ$3,1,MATCH(CD$6,Responses!$1:$1,0)),1)="N","NA",VALUE(LEFT(INDEX(Responses!$A$3:$ZZ$3,1,MATCH(CD$6,Responses!$1:$1,0)),1))))</f>
        <v>5</v>
      </c>
      <c r="CE8">
        <f>IF(INDEX(Responses!$A$3:$ZZ$3,1,MATCH(CE$6,Responses!$1:$1,0))&amp;""="","",IF(LEFT(INDEX(Responses!$A$3:$ZZ$3,1,MATCH(CE$6,Responses!$1:$1,0)),1)="N","NA",VALUE(LEFT(INDEX(Responses!$A$3:$ZZ$3,1,MATCH(CE$6,Responses!$1:$1,0)),1))))</f>
        <v>2</v>
      </c>
      <c r="CF8">
        <f>IF(INDEX(Responses!$A$3:$ZZ$3,1,MATCH(CF$6,Responses!$1:$1,0))&amp;""="","",IF(LEFT(INDEX(Responses!$A$3:$ZZ$3,1,MATCH(CF$6,Responses!$1:$1,0)),1)="N","NA",VALUE(LEFT(INDEX(Responses!$A$3:$ZZ$3,1,MATCH(CF$6,Responses!$1:$1,0)),1))))</f>
        <v>3</v>
      </c>
      <c r="CG8">
        <f>IF(INDEX(Responses!$A$3:$ZZ$3,1,MATCH(CG$6,Responses!$1:$1,0))&amp;""="","",IF(LEFT(INDEX(Responses!$A$3:$ZZ$3,1,MATCH(CG$6,Responses!$1:$1,0)),1)="N","NA",VALUE(LEFT(INDEX(Responses!$A$3:$ZZ$3,1,MATCH(CG$6,Responses!$1:$1,0)),1))))</f>
        <v>1</v>
      </c>
      <c r="CH8">
        <f>IF(INDEX(Responses!$A$3:$ZZ$3,1,MATCH(CH$6,Responses!$1:$1,0))&amp;""="","",IF(LEFT(INDEX(Responses!$A$3:$ZZ$3,1,MATCH(CH$6,Responses!$1:$1,0)),1)="N","NA",VALUE(LEFT(INDEX(Responses!$A$3:$ZZ$3,1,MATCH(CH$6,Responses!$1:$1,0)),1))))</f>
        <v>1</v>
      </c>
      <c r="CI8">
        <f>IF(INDEX(Responses!$A$3:$ZZ$3,1,MATCH(CI$6,Responses!$1:$1,0))&amp;""="","",IF(LEFT(INDEX(Responses!$A$3:$ZZ$3,1,MATCH(CI$6,Responses!$1:$1,0)),1)="N","NA",VALUE(LEFT(INDEX(Responses!$A$3:$ZZ$3,1,MATCH(CI$6,Responses!$1:$1,0)),1))))</f>
        <v>5</v>
      </c>
      <c r="CJ8">
        <f>IF(INDEX(Responses!$A$3:$ZZ$3,1,MATCH(CJ$6,Responses!$1:$1,0))&amp;""="","",IF(LEFT(INDEX(Responses!$A$3:$ZZ$3,1,MATCH(CJ$6,Responses!$1:$1,0)),1)="N","NA",VALUE(LEFT(INDEX(Responses!$A$3:$ZZ$3,1,MATCH(CJ$6,Responses!$1:$1,0)),1))))</f>
        <v>2</v>
      </c>
      <c r="CK8">
        <f>IF(INDEX(Responses!$A$3:$ZZ$3,1,MATCH(CK$6,Responses!$1:$1,0))&amp;""="","",IF(LEFT(INDEX(Responses!$A$3:$ZZ$3,1,MATCH(CK$6,Responses!$1:$1,0)),1)="N","NA",VALUE(LEFT(INDEX(Responses!$A$3:$ZZ$3,1,MATCH(CK$6,Responses!$1:$1,0)),1))))</f>
        <v>5</v>
      </c>
      <c r="CL8">
        <f>IF(INDEX(Responses!$A$3:$ZZ$3,1,MATCH(CL$6,Responses!$1:$1,0))&amp;""="","",IF(LEFT(INDEX(Responses!$A$3:$ZZ$3,1,MATCH(CL$6,Responses!$1:$1,0)),1)="N","NA",VALUE(LEFT(INDEX(Responses!$A$3:$ZZ$3,1,MATCH(CL$6,Responses!$1:$1,0)),1))))</f>
        <v>4</v>
      </c>
      <c r="CM8">
        <f>IF(INDEX(Responses!$A$3:$ZZ$3,1,MATCH(CM$6,Responses!$1:$1,0))&amp;""="","",IF(LEFT(INDEX(Responses!$A$3:$ZZ$3,1,MATCH(CM$6,Responses!$1:$1,0)),1)="N","NA",VALUE(LEFT(INDEX(Responses!$A$3:$ZZ$3,1,MATCH(CM$6,Responses!$1:$1,0)),1))))</f>
        <v>1</v>
      </c>
      <c r="CN8">
        <f>IF(INDEX(Responses!$A$3:$ZZ$3,1,MATCH(CN$6,Responses!$1:$1,0))&amp;""="","",IF(LEFT(INDEX(Responses!$A$3:$ZZ$3,1,MATCH(CN$6,Responses!$1:$1,0)),1)="N","NA",VALUE(LEFT(INDEX(Responses!$A$3:$ZZ$3,1,MATCH(CN$6,Responses!$1:$1,0)),1))))</f>
        <v>4</v>
      </c>
      <c r="CO8">
        <f>IF(INDEX(Responses!$A$3:$ZZ$3,1,MATCH(CO$6,Responses!$1:$1,0))&amp;""="","",IF(LEFT(INDEX(Responses!$A$3:$ZZ$3,1,MATCH(CO$6,Responses!$1:$1,0)),1)="N","NA",VALUE(LEFT(INDEX(Responses!$A$3:$ZZ$3,1,MATCH(CO$6,Responses!$1:$1,0)),1))))</f>
        <v>2</v>
      </c>
      <c r="CP8">
        <f>IF(INDEX(Responses!$A$3:$ZZ$3,1,MATCH(CP$6,Responses!$1:$1,0))&amp;""="","",IF(LEFT(INDEX(Responses!$A$3:$ZZ$3,1,MATCH(CP$6,Responses!$1:$1,0)),1)="N","NA",VALUE(LEFT(INDEX(Responses!$A$3:$ZZ$3,1,MATCH(CP$6,Responses!$1:$1,0)),1))))</f>
        <v>1</v>
      </c>
      <c r="CQ8">
        <f>IF(INDEX(Responses!$A$3:$ZZ$3,1,MATCH(CQ$6,Responses!$1:$1,0))&amp;""="","",IF(LEFT(INDEX(Responses!$A$3:$ZZ$3,1,MATCH(CQ$6,Responses!$1:$1,0)),1)="N","NA",VALUE(LEFT(INDEX(Responses!$A$3:$ZZ$3,1,MATCH(CQ$6,Responses!$1:$1,0)),1))))</f>
        <v>2</v>
      </c>
      <c r="CR8">
        <f>IF(INDEX(Responses!$A$3:$ZZ$3,1,MATCH(CR$6,Responses!$1:$1,0))&amp;""="","",IF(LEFT(INDEX(Responses!$A$3:$ZZ$3,1,MATCH(CR$6,Responses!$1:$1,0)),1)="N","NA",VALUE(LEFT(INDEX(Responses!$A$3:$ZZ$3,1,MATCH(CR$6,Responses!$1:$1,0)),1))))</f>
        <v>2</v>
      </c>
      <c r="CS8">
        <f>IF(INDEX(Responses!$A$3:$ZZ$3,1,MATCH(CS$6,Responses!$1:$1,0))&amp;""="","",IF(LEFT(INDEX(Responses!$A$3:$ZZ$3,1,MATCH(CS$6,Responses!$1:$1,0)),1)="N","NA",VALUE(LEFT(INDEX(Responses!$A$3:$ZZ$3,1,MATCH(CS$6,Responses!$1:$1,0)),1))))</f>
        <v>2</v>
      </c>
      <c r="CT8">
        <f>IF(INDEX(Responses!$A$3:$ZZ$3,1,MATCH(CT$6,Responses!$1:$1,0))&amp;""="","",IF(LEFT(INDEX(Responses!$A$3:$ZZ$3,1,MATCH(CT$6,Responses!$1:$1,0)),1)="N","NA",VALUE(LEFT(INDEX(Responses!$A$3:$ZZ$3,1,MATCH(CT$6,Responses!$1:$1,0)),1))))</f>
        <v>2</v>
      </c>
      <c r="CU8">
        <f>IF(INDEX(Responses!$A$3:$ZZ$3,1,MATCH(CU$6,Responses!$1:$1,0))&amp;""="","",IF(LEFT(INDEX(Responses!$A$3:$ZZ$3,1,MATCH(CU$6,Responses!$1:$1,0)),1)="N","NA",VALUE(LEFT(INDEX(Responses!$A$3:$ZZ$3,1,MATCH(CU$6,Responses!$1:$1,0)),1))))</f>
        <v>3</v>
      </c>
      <c r="CV8">
        <f>IF(INDEX(Responses!$A$3:$ZZ$3,1,MATCH(CV$6,Responses!$1:$1,0))&amp;""="","",IF(LEFT(INDEX(Responses!$A$3:$ZZ$3,1,MATCH(CV$6,Responses!$1:$1,0)),1)="N","NA",VALUE(LEFT(INDEX(Responses!$A$3:$ZZ$3,1,MATCH(CV$6,Responses!$1:$1,0)),1))))</f>
        <v>1</v>
      </c>
      <c r="CW8">
        <f>IF(INDEX(Responses!$A$3:$ZZ$3,1,MATCH(CW$6,Responses!$1:$1,0))&amp;""="","",IF(LEFT(INDEX(Responses!$A$3:$ZZ$3,1,MATCH(CW$6,Responses!$1:$1,0)),1)="N","NA",VALUE(LEFT(INDEX(Responses!$A$3:$ZZ$3,1,MATCH(CW$6,Responses!$1:$1,0)),1))))</f>
        <v>1</v>
      </c>
      <c r="CX8" t="str">
        <f>IF(INDEX(Responses!$A$3:$ZZ$3,1,MATCH(CX$6,Responses!$1:$1,0))&amp;""="","",IF(LEFT(INDEX(Responses!$A$3:$ZZ$3,1,MATCH(CX$6,Responses!$1:$1,0)),1)="N","NA",VALUE(LEFT(INDEX(Responses!$A$3:$ZZ$3,1,MATCH(CX$6,Responses!$1:$1,0)),1))))</f>
        <v>NA</v>
      </c>
      <c r="CY8" t="str">
        <f>IF(INDEX(Responses!$A$3:$ZZ$3,1,MATCH(CY$6,Responses!$1:$1,0))&amp;""="","",IF(LEFT(INDEX(Responses!$A$3:$ZZ$3,1,MATCH(CY$6,Responses!$1:$1,0)),1)="N","NA",VALUE(LEFT(INDEX(Responses!$A$3:$ZZ$3,1,MATCH(CY$6,Responses!$1:$1,0)),1))))</f>
        <v>NA</v>
      </c>
      <c r="CZ8">
        <f>IF(INDEX(Responses!$A$3:$ZZ$3,1,MATCH(CZ$6,Responses!$1:$1,0))&amp;""="","",IF(LEFT(INDEX(Responses!$A$3:$ZZ$3,1,MATCH(CZ$6,Responses!$1:$1,0)),1)="N","NA",VALUE(LEFT(INDEX(Responses!$A$3:$ZZ$3,1,MATCH(CZ$6,Responses!$1:$1,0)),1))))</f>
        <v>2</v>
      </c>
      <c r="DA8">
        <f>IF(INDEX(Responses!$A$3:$ZZ$3,1,MATCH(DA$6,Responses!$1:$1,0))&amp;""="","",IF(LEFT(INDEX(Responses!$A$3:$ZZ$3,1,MATCH(DA$6,Responses!$1:$1,0)),1)="N","NA",VALUE(LEFT(INDEX(Responses!$A$3:$ZZ$3,1,MATCH(DA$6,Responses!$1:$1,0)),1))))</f>
        <v>1</v>
      </c>
      <c r="DB8">
        <f>IF(INDEX(Responses!$A$3:$ZZ$3,1,MATCH(DB$6,Responses!$1:$1,0))&amp;""="","",IF(LEFT(INDEX(Responses!$A$3:$ZZ$3,1,MATCH(DB$6,Responses!$1:$1,0)),1)="N","NA",VALUE(LEFT(INDEX(Responses!$A$3:$ZZ$3,1,MATCH(DB$6,Responses!$1:$1,0)),1))))</f>
        <v>2</v>
      </c>
      <c r="DC8">
        <f>IF(INDEX(Responses!$A$3:$ZZ$3,1,MATCH(DC$6,Responses!$1:$1,0))&amp;""="","",IF(LEFT(INDEX(Responses!$A$3:$ZZ$3,1,MATCH(DC$6,Responses!$1:$1,0)),1)="N","NA",VALUE(LEFT(INDEX(Responses!$A$3:$ZZ$3,1,MATCH(DC$6,Responses!$1:$1,0)),1))))</f>
        <v>3</v>
      </c>
      <c r="DD8">
        <f>IF(INDEX(Responses!$A$3:$ZZ$3,1,MATCH(DD$6,Responses!$1:$1,0))&amp;""="","",IF(LEFT(INDEX(Responses!$A$3:$ZZ$3,1,MATCH(DD$6,Responses!$1:$1,0)),1)="N","NA",VALUE(LEFT(INDEX(Responses!$A$3:$ZZ$3,1,MATCH(DD$6,Responses!$1:$1,0)),1))))</f>
        <v>2</v>
      </c>
      <c r="DE8">
        <f>IF(INDEX(Responses!$A$3:$ZZ$3,1,MATCH(DE$6,Responses!$1:$1,0))&amp;""="","",IF(LEFT(INDEX(Responses!$A$3:$ZZ$3,1,MATCH(DE$6,Responses!$1:$1,0)),1)="N","NA",VALUE(LEFT(INDEX(Responses!$A$3:$ZZ$3,1,MATCH(DE$6,Responses!$1:$1,0)),1))))</f>
        <v>2</v>
      </c>
      <c r="DF8">
        <f>IF(INDEX(Responses!$A$3:$ZZ$3,1,MATCH(DF$6,Responses!$1:$1,0))&amp;""="","",IF(LEFT(INDEX(Responses!$A$3:$ZZ$3,1,MATCH(DF$6,Responses!$1:$1,0)),1)="N","NA",VALUE(LEFT(INDEX(Responses!$A$3:$ZZ$3,1,MATCH(DF$6,Responses!$1:$1,0)),1))))</f>
        <v>3</v>
      </c>
      <c r="DG8">
        <f>IF(INDEX(Responses!$A$3:$ZZ$3,1,MATCH(DG$6,Responses!$1:$1,0))&amp;""="","",IF(LEFT(INDEX(Responses!$A$3:$ZZ$3,1,MATCH(DG$6,Responses!$1:$1,0)),1)="N","NA",VALUE(LEFT(INDEX(Responses!$A$3:$ZZ$3,1,MATCH(DG$6,Responses!$1:$1,0)),1))))</f>
        <v>2</v>
      </c>
      <c r="DH8">
        <f>IF(INDEX(Responses!$A$3:$ZZ$3,1,MATCH(DH$6,Responses!$1:$1,0))&amp;""="","",IF(LEFT(INDEX(Responses!$A$3:$ZZ$3,1,MATCH(DH$6,Responses!$1:$1,0)),1)="N","NA",VALUE(LEFT(INDEX(Responses!$A$3:$ZZ$3,1,MATCH(DH$6,Responses!$1:$1,0)),1))))</f>
        <v>2</v>
      </c>
      <c r="DI8">
        <f>IF(INDEX(Responses!$A$3:$ZZ$3,1,MATCH(DI$6,Responses!$1:$1,0))&amp;""="","",IF(LEFT(INDEX(Responses!$A$3:$ZZ$3,1,MATCH(DI$6,Responses!$1:$1,0)),1)="N","NA",VALUE(LEFT(INDEX(Responses!$A$3:$ZZ$3,1,MATCH(DI$6,Responses!$1:$1,0)),1))))</f>
        <v>1</v>
      </c>
      <c r="DJ8">
        <f>IF(INDEX(Responses!$A$3:$ZZ$3,1,MATCH(DJ$6,Responses!$1:$1,0))&amp;""="","",IF(LEFT(INDEX(Responses!$A$3:$ZZ$3,1,MATCH(DJ$6,Responses!$1:$1,0)),1)="N","NA",VALUE(LEFT(INDEX(Responses!$A$3:$ZZ$3,1,MATCH(DJ$6,Responses!$1:$1,0)),1))))</f>
        <v>2</v>
      </c>
      <c r="DK8">
        <f>IF(INDEX(Responses!$A$3:$ZZ$3,1,MATCH(DK$6,Responses!$1:$1,0))&amp;""="","",IF(LEFT(INDEX(Responses!$A$3:$ZZ$3,1,MATCH(DK$6,Responses!$1:$1,0)),1)="N","NA",VALUE(LEFT(INDEX(Responses!$A$3:$ZZ$3,1,MATCH(DK$6,Responses!$1:$1,0)),1))))</f>
        <v>2</v>
      </c>
      <c r="DL8">
        <f>IF(INDEX(Responses!$A$3:$ZZ$3,1,MATCH(DL$6,Responses!$1:$1,0))&amp;""="","",IF(LEFT(INDEX(Responses!$A$3:$ZZ$3,1,MATCH(DL$6,Responses!$1:$1,0)),1)="N","NA",VALUE(LEFT(INDEX(Responses!$A$3:$ZZ$3,1,MATCH(DL$6,Responses!$1:$1,0)),1))))</f>
        <v>2</v>
      </c>
      <c r="DM8">
        <f>IF(INDEX(Responses!$A$3:$ZZ$3,1,MATCH(DM$6,Responses!$1:$1,0))&amp;""="","",IF(LEFT(INDEX(Responses!$A$3:$ZZ$3,1,MATCH(DM$6,Responses!$1:$1,0)),1)="N","NA",VALUE(LEFT(INDEX(Responses!$A$3:$ZZ$3,1,MATCH(DM$6,Responses!$1:$1,0)),1))))</f>
        <v>2</v>
      </c>
      <c r="DN8">
        <f>IF(INDEX(Responses!$A$3:$ZZ$3,1,MATCH(DN$6,Responses!$1:$1,0))&amp;""="","",IF(LEFT(INDEX(Responses!$A$3:$ZZ$3,1,MATCH(DN$6,Responses!$1:$1,0)),1)="N","NA",VALUE(LEFT(INDEX(Responses!$A$3:$ZZ$3,1,MATCH(DN$6,Responses!$1:$1,0)),1))))</f>
        <v>3</v>
      </c>
      <c r="DO8">
        <f>IF(INDEX(Responses!$A$3:$ZZ$3,1,MATCH(DO$6,Responses!$1:$1,0))&amp;""="","",IF(LEFT(INDEX(Responses!$A$3:$ZZ$3,1,MATCH(DO$6,Responses!$1:$1,0)),1)="N","NA",VALUE(LEFT(INDEX(Responses!$A$3:$ZZ$3,1,MATCH(DO$6,Responses!$1:$1,0)),1))))</f>
        <v>1</v>
      </c>
      <c r="DP8">
        <f>IF(INDEX(Responses!$A$3:$ZZ$3,1,MATCH(DP$6,Responses!$1:$1,0))&amp;""="","",IF(LEFT(INDEX(Responses!$A$3:$ZZ$3,1,MATCH(DP$6,Responses!$1:$1,0)),1)="N","NA",VALUE(LEFT(INDEX(Responses!$A$3:$ZZ$3,1,MATCH(DP$6,Responses!$1:$1,0)),1))))</f>
        <v>1</v>
      </c>
      <c r="DQ8" t="str">
        <f>IF(INDEX(Responses!$A$3:$ZZ$3,1,MATCH(DQ$6,Responses!$1:$1,0))&amp;""="","",IF(LEFT(INDEX(Responses!$A$3:$ZZ$3,1,MATCH(DQ$6,Responses!$1:$1,0)),1)="N","NA",VALUE(LEFT(INDEX(Responses!$A$3:$ZZ$3,1,MATCH(DQ$6,Responses!$1:$1,0)),1))))</f>
        <v>NA</v>
      </c>
      <c r="DR8" t="str">
        <f>IF(INDEX(Responses!$A$3:$ZZ$3,1,MATCH(DR$6,Responses!$1:$1,0))&amp;""="","",IF(LEFT(INDEX(Responses!$A$3:$ZZ$3,1,MATCH(DR$6,Responses!$1:$1,0)),1)="N","NA",VALUE(LEFT(INDEX(Responses!$A$3:$ZZ$3,1,MATCH(DR$6,Responses!$1:$1,0)),1))))</f>
        <v>NA</v>
      </c>
      <c r="DS8">
        <f>IF(INDEX(Responses!$A$3:$ZZ$3,1,MATCH(DS$6,Responses!$1:$1,0))&amp;""="","",IF(LEFT(INDEX(Responses!$A$3:$ZZ$3,1,MATCH(DS$6,Responses!$1:$1,0)),1)="N","NA",VALUE(LEFT(INDEX(Responses!$A$3:$ZZ$3,1,MATCH(DS$6,Responses!$1:$1,0)),1))))</f>
        <v>2</v>
      </c>
      <c r="DT8">
        <f>IF(INDEX(Responses!$A$3:$ZZ$3,1,MATCH(DT$6,Responses!$1:$1,0))&amp;""="","",IF(LEFT(INDEX(Responses!$A$3:$ZZ$3,1,MATCH(DT$6,Responses!$1:$1,0)),1)="N","NA",VALUE(LEFT(INDEX(Responses!$A$3:$ZZ$3,1,MATCH(DT$6,Responses!$1:$1,0)),1))))</f>
        <v>2</v>
      </c>
      <c r="DU8">
        <f>IF(INDEX(Responses!$A$3:$ZZ$3,1,MATCH(DU$6,Responses!$1:$1,0))&amp;""="","",IF(LEFT(INDEX(Responses!$A$3:$ZZ$3,1,MATCH(DU$6,Responses!$1:$1,0)),1)="N","NA",VALUE(LEFT(INDEX(Responses!$A$3:$ZZ$3,1,MATCH(DU$6,Responses!$1:$1,0)),1))))</f>
        <v>2</v>
      </c>
      <c r="DV8">
        <f>IF(INDEX(Responses!$A$3:$ZZ$3,1,MATCH(DV$6,Responses!$1:$1,0))&amp;""="","",IF(LEFT(INDEX(Responses!$A$3:$ZZ$3,1,MATCH(DV$6,Responses!$1:$1,0)),1)="N","NA",VALUE(LEFT(INDEX(Responses!$A$3:$ZZ$3,1,MATCH(DV$6,Responses!$1:$1,0)),1))))</f>
        <v>4</v>
      </c>
      <c r="DW8">
        <f>IF(INDEX(Responses!$A$3:$ZZ$3,1,MATCH(DW$6,Responses!$1:$1,0))&amp;""="","",IF(LEFT(INDEX(Responses!$A$3:$ZZ$3,1,MATCH(DW$6,Responses!$1:$1,0)),1)="N","NA",VALUE(LEFT(INDEX(Responses!$A$3:$ZZ$3,1,MATCH(DW$6,Responses!$1:$1,0)),1))))</f>
        <v>2</v>
      </c>
      <c r="DX8">
        <f>IF(INDEX(Responses!$A$3:$ZZ$3,1,MATCH(DX$6,Responses!$1:$1,0))&amp;""="","",IF(LEFT(INDEX(Responses!$A$3:$ZZ$3,1,MATCH(DX$6,Responses!$1:$1,0)),1)="N","NA",VALUE(LEFT(INDEX(Responses!$A$3:$ZZ$3,1,MATCH(DX$6,Responses!$1:$1,0)),1))))</f>
        <v>3</v>
      </c>
      <c r="DY8">
        <f>IF(INDEX(Responses!$A$3:$ZZ$3,1,MATCH(DY$6,Responses!$1:$1,0))&amp;""="","",IF(LEFT(INDEX(Responses!$A$3:$ZZ$3,1,MATCH(DY$6,Responses!$1:$1,0)),1)="N","NA",VALUE(LEFT(INDEX(Responses!$A$3:$ZZ$3,1,MATCH(DY$6,Responses!$1:$1,0)),1))))</f>
        <v>3</v>
      </c>
      <c r="DZ8">
        <f>IF(INDEX(Responses!$A$3:$ZZ$3,1,MATCH(DZ$6,Responses!$1:$1,0))&amp;""="","",IF(LEFT(INDEX(Responses!$A$3:$ZZ$3,1,MATCH(DZ$6,Responses!$1:$1,0)),1)="N","NA",VALUE(LEFT(INDEX(Responses!$A$3:$ZZ$3,1,MATCH(DZ$6,Responses!$1:$1,0)),1))))</f>
        <v>2</v>
      </c>
      <c r="EA8">
        <f>IF(INDEX(Responses!$A$3:$ZZ$3,1,MATCH(EA$6,Responses!$1:$1,0))&amp;""="","",IF(LEFT(INDEX(Responses!$A$3:$ZZ$3,1,MATCH(EA$6,Responses!$1:$1,0)),1)="N","NA",VALUE(LEFT(INDEX(Responses!$A$3:$ZZ$3,1,MATCH(EA$6,Responses!$1:$1,0)),1))))</f>
        <v>2</v>
      </c>
      <c r="EB8">
        <f>IF(INDEX(Responses!$A$3:$ZZ$3,1,MATCH(EB$6,Responses!$1:$1,0))&amp;""="","",IF(LEFT(INDEX(Responses!$A$3:$ZZ$3,1,MATCH(EB$6,Responses!$1:$1,0)),1)="N","NA",VALUE(LEFT(INDEX(Responses!$A$3:$ZZ$3,1,MATCH(EB$6,Responses!$1:$1,0)),1))))</f>
        <v>1</v>
      </c>
      <c r="EC8">
        <f>IF(INDEX(Responses!$A$3:$ZZ$3,1,MATCH(EC$6,Responses!$1:$1,0))&amp;""="","",IF(LEFT(INDEX(Responses!$A$3:$ZZ$3,1,MATCH(EC$6,Responses!$1:$1,0)),1)="N","NA",VALUE(LEFT(INDEX(Responses!$A$3:$ZZ$3,1,MATCH(EC$6,Responses!$1:$1,0)),1))))</f>
        <v>2</v>
      </c>
      <c r="ED8">
        <f>IF(INDEX(Responses!$A$3:$ZZ$3,1,MATCH(ED$6,Responses!$1:$1,0))&amp;""="","",IF(LEFT(INDEX(Responses!$A$3:$ZZ$3,1,MATCH(ED$6,Responses!$1:$1,0)),1)="N","NA",VALUE(LEFT(INDEX(Responses!$A$3:$ZZ$3,1,MATCH(ED$6,Responses!$1:$1,0)),1))))</f>
        <v>2</v>
      </c>
      <c r="EE8">
        <f>IF(INDEX(Responses!$A$3:$ZZ$3,1,MATCH(EE$6,Responses!$1:$1,0))&amp;""="","",IF(LEFT(INDEX(Responses!$A$3:$ZZ$3,1,MATCH(EE$6,Responses!$1:$1,0)),1)="N","NA",VALUE(LEFT(INDEX(Responses!$A$3:$ZZ$3,1,MATCH(EE$6,Responses!$1:$1,0)),1))))</f>
        <v>2</v>
      </c>
      <c r="EF8">
        <f>IF(INDEX(Responses!$A$3:$ZZ$3,1,MATCH(EF$6,Responses!$1:$1,0))&amp;""="","",IF(LEFT(INDEX(Responses!$A$3:$ZZ$3,1,MATCH(EF$6,Responses!$1:$1,0)),1)="N","NA",VALUE(LEFT(INDEX(Responses!$A$3:$ZZ$3,1,MATCH(EF$6,Responses!$1:$1,0)),1))))</f>
        <v>3</v>
      </c>
      <c r="EG8">
        <f>IF(INDEX(Responses!$A$3:$ZZ$3,1,MATCH(EG$6,Responses!$1:$1,0))&amp;""="","",IF(LEFT(INDEX(Responses!$A$3:$ZZ$3,1,MATCH(EG$6,Responses!$1:$1,0)),1)="N","NA",VALUE(LEFT(INDEX(Responses!$A$3:$ZZ$3,1,MATCH(EG$6,Responses!$1:$1,0)),1))))</f>
        <v>3</v>
      </c>
      <c r="EH8">
        <f>IF(INDEX(Responses!$A$3:$ZZ$3,1,MATCH(EH$6,Responses!$1:$1,0))&amp;""="","",IF(LEFT(INDEX(Responses!$A$3:$ZZ$3,1,MATCH(EH$6,Responses!$1:$1,0)),1)="N","NA",VALUE(LEFT(INDEX(Responses!$A$3:$ZZ$3,1,MATCH(EH$6,Responses!$1:$1,0)),1))))</f>
        <v>1</v>
      </c>
      <c r="EI8">
        <f>IF(INDEX(Responses!$A$3:$ZZ$3,1,MATCH(EI$6,Responses!$1:$1,0))&amp;""="","",IF(LEFT(INDEX(Responses!$A$3:$ZZ$3,1,MATCH(EI$6,Responses!$1:$1,0)),1)="N","NA",VALUE(LEFT(INDEX(Responses!$A$3:$ZZ$3,1,MATCH(EI$6,Responses!$1:$1,0)),1))))</f>
        <v>1</v>
      </c>
      <c r="EJ8" t="str">
        <f>IF(INDEX(Responses!$A$3:$ZZ$3,1,MATCH(EJ$6,Responses!$1:$1,0))&amp;""="","",IF(LEFT(INDEX(Responses!$A$3:$ZZ$3,1,MATCH(EJ$6,Responses!$1:$1,0)),1)="N","NA",VALUE(LEFT(INDEX(Responses!$A$3:$ZZ$3,1,MATCH(EJ$6,Responses!$1:$1,0)),1))))</f>
        <v>NA</v>
      </c>
      <c r="EK8" t="str">
        <f>IF(INDEX(Responses!$A$3:$ZZ$3,1,MATCH(EK$6,Responses!$1:$1,0))&amp;""="","",IF(LEFT(INDEX(Responses!$A$3:$ZZ$3,1,MATCH(EK$6,Responses!$1:$1,0)),1)="N","NA",VALUE(LEFT(INDEX(Responses!$A$3:$ZZ$3,1,MATCH(EK$6,Responses!$1:$1,0)),1))))</f>
        <v>NA</v>
      </c>
      <c r="EL8">
        <f>IF(INDEX(Responses!$A$3:$ZZ$3,1,MATCH(EL$6,Responses!$1:$1,0))&amp;""="","",IF(LEFT(INDEX(Responses!$A$3:$ZZ$3,1,MATCH(EL$6,Responses!$1:$1,0)),1)="N","NA",VALUE(LEFT(INDEX(Responses!$A$3:$ZZ$3,1,MATCH(EL$6,Responses!$1:$1,0)),1))))</f>
        <v>2</v>
      </c>
      <c r="EM8">
        <f>IF(INDEX(Responses!$A$3:$ZZ$3,1,MATCH(EM$6,Responses!$1:$1,0))&amp;""="","",IF(LEFT(INDEX(Responses!$A$3:$ZZ$3,1,MATCH(EM$6,Responses!$1:$1,0)),1)="N","NA",VALUE(LEFT(INDEX(Responses!$A$3:$ZZ$3,1,MATCH(EM$6,Responses!$1:$1,0)),1))))</f>
        <v>1</v>
      </c>
      <c r="EN8">
        <f>IF(INDEX(Responses!$A$3:$ZZ$3,1,MATCH(EN$6,Responses!$1:$1,0))&amp;""="","",IF(LEFT(INDEX(Responses!$A$3:$ZZ$3,1,MATCH(EN$6,Responses!$1:$1,0)),1)="N","NA",VALUE(LEFT(INDEX(Responses!$A$3:$ZZ$3,1,MATCH(EN$6,Responses!$1:$1,0)),1))))</f>
        <v>3</v>
      </c>
      <c r="EO8">
        <f>IF(INDEX(Responses!$A$3:$ZZ$3,1,MATCH(EO$6,Responses!$1:$1,0))&amp;""="","",IF(LEFT(INDEX(Responses!$A$3:$ZZ$3,1,MATCH(EO$6,Responses!$1:$1,0)),1)="N","NA",VALUE(LEFT(INDEX(Responses!$A$3:$ZZ$3,1,MATCH(EO$6,Responses!$1:$1,0)),1))))</f>
        <v>3</v>
      </c>
      <c r="EP8">
        <f>IF(INDEX(Responses!$A$3:$ZZ$3,1,MATCH(EP$6,Responses!$1:$1,0))&amp;""="","",IF(LEFT(INDEX(Responses!$A$3:$ZZ$3,1,MATCH(EP$6,Responses!$1:$1,0)),1)="N","NA",VALUE(LEFT(INDEX(Responses!$A$3:$ZZ$3,1,MATCH(EP$6,Responses!$1:$1,0)),1))))</f>
        <v>3</v>
      </c>
      <c r="EQ8">
        <f>IF(INDEX(Responses!$A$3:$ZZ$3,1,MATCH(EQ$6,Responses!$1:$1,0))&amp;""="","",IF(LEFT(INDEX(Responses!$A$3:$ZZ$3,1,MATCH(EQ$6,Responses!$1:$1,0)),1)="N","NA",VALUE(LEFT(INDEX(Responses!$A$3:$ZZ$3,1,MATCH(EQ$6,Responses!$1:$1,0)),1))))</f>
        <v>2</v>
      </c>
      <c r="ER8">
        <f>IF(INDEX(Responses!$A$3:$ZZ$3,1,MATCH(ER$6,Responses!$1:$1,0))&amp;""="","",IF(LEFT(INDEX(Responses!$A$3:$ZZ$3,1,MATCH(ER$6,Responses!$1:$1,0)),1)="N","NA",VALUE(LEFT(INDEX(Responses!$A$3:$ZZ$3,1,MATCH(ER$6,Responses!$1:$1,0)),1))))</f>
        <v>3</v>
      </c>
      <c r="ES8">
        <f>IF(INDEX(Responses!$A$3:$ZZ$3,1,MATCH(ES$6,Responses!$1:$1,0))&amp;""="","",IF(LEFT(INDEX(Responses!$A$3:$ZZ$3,1,MATCH(ES$6,Responses!$1:$1,0)),1)="N","NA",VALUE(LEFT(INDEX(Responses!$A$3:$ZZ$3,1,MATCH(ES$6,Responses!$1:$1,0)),1))))</f>
        <v>3</v>
      </c>
      <c r="ET8">
        <f>--ISNUMBER(SEARCH(INDEX(Items!$G:$G,MATCH(ET$1,Items!$A:$A,0)),INDEX(Responses!$A$3:$ZZ$3,1,MATCH(ET$6,Responses!$1:$1,0))))</f>
        <v>1</v>
      </c>
      <c r="EU8">
        <f>--ISNUMBER(SEARCH(INDEX(Items!$G:$G,MATCH(EU$1,Items!$A:$A,0)),INDEX(Responses!$A$3:$ZZ$3,1,MATCH(EU$6,Responses!$1:$1,0))))</f>
        <v>0</v>
      </c>
      <c r="EV8">
        <f>--ISNUMBER(SEARCH(INDEX(Items!$G:$G,MATCH(EV$1,Items!$A:$A,0)),INDEX(Responses!$A$3:$ZZ$3,1,MATCH(EV$6,Responses!$1:$1,0))))</f>
        <v>0</v>
      </c>
      <c r="EW8">
        <f>--ISNUMBER(SEARCH(INDEX(Items!$G:$G,MATCH(EW$1,Items!$A:$A,0)),INDEX(Responses!$A$3:$ZZ$3,1,MATCH(EW$6,Responses!$1:$1,0))))</f>
        <v>0</v>
      </c>
      <c r="EX8">
        <f>--ISNUMBER(SEARCH(INDEX(Items!$G:$G,MATCH(EX$1,Items!$A:$A,0)),INDEX(Responses!$A$3:$ZZ$3,1,MATCH(EX$6,Responses!$1:$1,0))))</f>
        <v>0</v>
      </c>
      <c r="EY8">
        <f>--ISNUMBER(SEARCH(INDEX(Items!$G:$G,MATCH(EY$1,Items!$A:$A,0)),INDEX(Responses!$A$3:$ZZ$3,1,MATCH(EY$6,Responses!$1:$1,0))))</f>
        <v>0</v>
      </c>
      <c r="EZ8">
        <f>--ISNUMBER(SEARCH(INDEX(Items!$G:$G,MATCH(EZ$1,Items!$A:$A,0)),INDEX(Responses!$A$3:$ZZ$3,1,MATCH(EZ$6,Responses!$1:$1,0))))</f>
        <v>0</v>
      </c>
      <c r="FA8">
        <f>--ISNUMBER(SEARCH(INDEX(Items!$G:$G,MATCH(FA$1,Items!$A:$A,0)),INDEX(Responses!$A$3:$ZZ$3,1,MATCH(FA$6,Responses!$1:$1,0))))</f>
        <v>1</v>
      </c>
      <c r="FB8">
        <f>--ISNUMBER(SEARCH(INDEX(Items!$G:$G,MATCH(FB$1,Items!$A:$A,0)),INDEX(Responses!$A$3:$ZZ$3,1,MATCH(FB$6,Responses!$1:$1,0))))</f>
        <v>0</v>
      </c>
      <c r="FC8">
        <f>--ISNUMBER(SEARCH(INDEX(Items!$G:$G,MATCH(FC$1,Items!$A:$A,0)),INDEX(Responses!$A$3:$ZZ$3,1,MATCH(FC$6,Responses!$1:$1,0))))</f>
        <v>0</v>
      </c>
      <c r="FD8">
        <f>--ISNUMBER(SEARCH(INDEX(Items!$G:$G,MATCH(FD$1,Items!$A:$A,0)),INDEX(Responses!$A$3:$ZZ$3,1,MATCH(FD$6,Responses!$1:$1,0))))</f>
        <v>0</v>
      </c>
      <c r="FE8">
        <f>--ISNUMBER(SEARCH(INDEX(Items!$G:$G,MATCH(FE$1,Items!$A:$A,0)),INDEX(Responses!$A$3:$ZZ$3,1,MATCH(FE$6,Responses!$1:$1,0))))</f>
        <v>0</v>
      </c>
      <c r="FF8">
        <f>--ISNUMBER(SEARCH(INDEX(Items!$G:$G,MATCH(FF$1,Items!$A:$A,0)),INDEX(Responses!$A$3:$ZZ$3,1,MATCH(FF$6,Responses!$1:$1,0))))</f>
        <v>0</v>
      </c>
      <c r="FG8">
        <f>--ISNUMBER(SEARCH(INDEX(Items!$G:$G,MATCH(FG$1,Items!$A:$A,0)),INDEX(Responses!$A$3:$ZZ$3,1,MATCH(FG$6,Responses!$1:$1,0))))</f>
        <v>0</v>
      </c>
      <c r="FH8">
        <f>--ISNUMBER(SEARCH(INDEX(Items!$G:$G,MATCH(FH$1,Items!$A:$A,0)),INDEX(Responses!$A$3:$ZZ$3,1,MATCH(FH$6,Responses!$1:$1,0))))</f>
        <v>1</v>
      </c>
      <c r="FI8">
        <f>--ISNUMBER(SEARCH(INDEX(Items!$G:$G,MATCH(FI$1,Items!$A:$A,0)),INDEX(Responses!$A$3:$ZZ$3,1,MATCH(FI$6,Responses!$1:$1,0))))</f>
        <v>0</v>
      </c>
      <c r="FJ8">
        <f>--ISNUMBER(SEARCH(INDEX(Items!$G:$G,MATCH(FJ$1,Items!$A:$A,0)),INDEX(Responses!$A$3:$ZZ$3,1,MATCH(FJ$6,Responses!$1:$1,0))))</f>
        <v>0</v>
      </c>
      <c r="FK8">
        <f>--ISNUMBER(SEARCH(INDEX(Items!$G:$G,MATCH(FK$1,Items!$A:$A,0)),INDEX(Responses!$A$3:$ZZ$3,1,MATCH(FK$6,Responses!$1:$1,0))))</f>
        <v>0</v>
      </c>
      <c r="FL8">
        <f>--ISNUMBER(SEARCH(INDEX(Items!$G:$G,MATCH(FL$1,Items!$A:$A,0)),INDEX(Responses!$A$3:$ZZ$3,1,MATCH(FL$6,Responses!$1:$1,0))))</f>
        <v>0</v>
      </c>
      <c r="FM8">
        <f>--ISNUMBER(SEARCH(INDEX(Items!$G:$G,MATCH(FM$1,Items!$A:$A,0)),INDEX(Responses!$A$3:$ZZ$3,1,MATCH(FM$6,Responses!$1:$1,0))))</f>
        <v>0</v>
      </c>
      <c r="FN8">
        <f>--ISNUMBER(SEARCH(INDEX(Items!$G:$G,MATCH(FN$1,Items!$A:$A,0)),INDEX(Responses!$A$3:$ZZ$3,1,MATCH(FN$6,Responses!$1:$1,0))))</f>
        <v>0</v>
      </c>
      <c r="FO8">
        <f>--ISNUMBER(SEARCH(INDEX(Items!$G:$G,MATCH(FO$1,Items!$A:$A,0)),INDEX(Responses!$A$3:$ZZ$3,1,MATCH(FO$6,Responses!$1:$1,0))))</f>
        <v>0</v>
      </c>
      <c r="FP8">
        <f>--ISNUMBER(SEARCH(INDEX(Items!$G:$G,MATCH(FP$1,Items!$A:$A,0)),INDEX(Responses!$A$3:$ZZ$3,1,MATCH(FP$6,Responses!$1:$1,0))))</f>
        <v>0</v>
      </c>
      <c r="FQ8">
        <f>--ISNUMBER(SEARCH(INDEX(Items!$G:$G,MATCH(FQ$1,Items!$A:$A,0)),INDEX(Responses!$A$3:$ZZ$3,1,MATCH(FQ$6,Responses!$1:$1,0))))</f>
        <v>0</v>
      </c>
      <c r="FR8">
        <f>--ISNUMBER(SEARCH(INDEX(Items!$G:$G,MATCH(FR$1,Items!$A:$A,0)),INDEX(Responses!$A$3:$ZZ$3,1,MATCH(FR$6,Responses!$1:$1,0))))</f>
        <v>0</v>
      </c>
      <c r="FS8">
        <f>--ISNUMBER(SEARCH(INDEX(Items!$G:$G,MATCH(FS$1,Items!$A:$A,0)),INDEX(Responses!$A$3:$ZZ$3,1,MATCH(FS$6,Responses!$1:$1,0))))</f>
        <v>1</v>
      </c>
      <c r="FT8">
        <f>--ISNUMBER(SEARCH(INDEX(Items!$G:$G,MATCH(FT$1,Items!$A:$A,0)),INDEX(Responses!$A$3:$ZZ$3,1,MATCH(FT$6,Responses!$1:$1,0))))</f>
        <v>0</v>
      </c>
      <c r="FU8">
        <f>--ISNUMBER(SEARCH(INDEX(Items!$G:$G,MATCH(FU$1,Items!$A:$A,0)),INDEX(Responses!$A$3:$ZZ$3,1,MATCH(FU$6,Responses!$1:$1,0))))</f>
        <v>0</v>
      </c>
    </row>
    <row r="9" spans="1:177" x14ac:dyDescent="0.45">
      <c r="A9" t="str">
        <f>Responses!$D$4</f>
        <v>Priya Raman</v>
      </c>
      <c r="B9">
        <f>IF(INDEX(Responses!$A$4:$ZZ$4,1,MATCH(B$6,Responses!$1:$1,0))&amp;""="","",IF(LEFT(INDEX(Responses!$A$4:$ZZ$4,1,MATCH(B$6,Responses!$1:$1,0)),1)="N","NA",VALUE(LEFT(INDEX(Responses!$A$4:$ZZ$4,1,MATCH(B$6,Responses!$1:$1,0)),1))))</f>
        <v>4</v>
      </c>
      <c r="C9">
        <f>IF(INDEX(Responses!$A$4:$ZZ$4,1,MATCH(C$6,Responses!$1:$1,0))&amp;""="","",IF(LEFT(INDEX(Responses!$A$4:$ZZ$4,1,MATCH(C$6,Responses!$1:$1,0)),1)="N","NA",VALUE(LEFT(INDEX(Responses!$A$4:$ZZ$4,1,MATCH(C$6,Responses!$1:$1,0)),1))))</f>
        <v>1</v>
      </c>
      <c r="D9">
        <f>IF(INDEX(Responses!$A$4:$ZZ$4,1,MATCH(D$6,Responses!$1:$1,0))&amp;""="","",IF(LEFT(INDEX(Responses!$A$4:$ZZ$4,1,MATCH(D$6,Responses!$1:$1,0)),1)="N","NA",VALUE(LEFT(INDEX(Responses!$A$4:$ZZ$4,1,MATCH(D$6,Responses!$1:$1,0)),1))))</f>
        <v>3</v>
      </c>
      <c r="E9">
        <f>IF(INDEX(Responses!$A$4:$ZZ$4,1,MATCH(E$6,Responses!$1:$1,0))&amp;""="","",IF(LEFT(INDEX(Responses!$A$4:$ZZ$4,1,MATCH(E$6,Responses!$1:$1,0)),1)="N","NA",VALUE(LEFT(INDEX(Responses!$A$4:$ZZ$4,1,MATCH(E$6,Responses!$1:$1,0)),1))))</f>
        <v>4</v>
      </c>
      <c r="F9">
        <f>IF(INDEX(Responses!$A$4:$ZZ$4,1,MATCH(F$6,Responses!$1:$1,0))&amp;""="","",IF(LEFT(INDEX(Responses!$A$4:$ZZ$4,1,MATCH(F$6,Responses!$1:$1,0)),1)="N","NA",VALUE(LEFT(INDEX(Responses!$A$4:$ZZ$4,1,MATCH(F$6,Responses!$1:$1,0)),1))))</f>
        <v>2</v>
      </c>
      <c r="G9">
        <f>IF(INDEX(Responses!$A$4:$ZZ$4,1,MATCH(G$6,Responses!$1:$1,0))&amp;""="","",IF(LEFT(INDEX(Responses!$A$4:$ZZ$4,1,MATCH(G$6,Responses!$1:$1,0)),1)="N","NA",VALUE(LEFT(INDEX(Responses!$A$4:$ZZ$4,1,MATCH(G$6,Responses!$1:$1,0)),1))))</f>
        <v>3</v>
      </c>
      <c r="H9">
        <f>IF(INDEX(Responses!$A$4:$ZZ$4,1,MATCH(H$6,Responses!$1:$1,0))&amp;""="","",IF(LEFT(INDEX(Responses!$A$4:$ZZ$4,1,MATCH(H$6,Responses!$1:$1,0)),1)="N","NA",VALUE(LEFT(INDEX(Responses!$A$4:$ZZ$4,1,MATCH(H$6,Responses!$1:$1,0)),1))))</f>
        <v>3</v>
      </c>
      <c r="I9">
        <f>IF(INDEX(Responses!$A$4:$ZZ$4,1,MATCH(I$6,Responses!$1:$1,0))&amp;""="","",IF(LEFT(INDEX(Responses!$A$4:$ZZ$4,1,MATCH(I$6,Responses!$1:$1,0)),1)="N","NA",VALUE(LEFT(INDEX(Responses!$A$4:$ZZ$4,1,MATCH(I$6,Responses!$1:$1,0)),1))))</f>
        <v>2</v>
      </c>
      <c r="J9">
        <f>IF(INDEX(Responses!$A$4:$ZZ$4,1,MATCH(J$6,Responses!$1:$1,0))&amp;""="","",IF(LEFT(INDEX(Responses!$A$4:$ZZ$4,1,MATCH(J$6,Responses!$1:$1,0)),1)="N","NA",VALUE(LEFT(INDEX(Responses!$A$4:$ZZ$4,1,MATCH(J$6,Responses!$1:$1,0)),1))))</f>
        <v>4</v>
      </c>
      <c r="K9">
        <f>IF(INDEX(Responses!$A$4:$ZZ$4,1,MATCH(K$6,Responses!$1:$1,0))&amp;""="","",IF(LEFT(INDEX(Responses!$A$4:$ZZ$4,1,MATCH(K$6,Responses!$1:$1,0)),1)="N","NA",VALUE(LEFT(INDEX(Responses!$A$4:$ZZ$4,1,MATCH(K$6,Responses!$1:$1,0)),1))))</f>
        <v>2</v>
      </c>
      <c r="L9">
        <f>IF(INDEX(Responses!$A$4:$ZZ$4,1,MATCH(L$6,Responses!$1:$1,0))&amp;""="","",IF(LEFT(INDEX(Responses!$A$4:$ZZ$4,1,MATCH(L$6,Responses!$1:$1,0)),1)="N","NA",VALUE(LEFT(INDEX(Responses!$A$4:$ZZ$4,1,MATCH(L$6,Responses!$1:$1,0)),1))))</f>
        <v>2</v>
      </c>
      <c r="M9">
        <f>IF(INDEX(Responses!$A$4:$ZZ$4,1,MATCH(M$6,Responses!$1:$1,0))&amp;""="","",IF(LEFT(INDEX(Responses!$A$4:$ZZ$4,1,MATCH(M$6,Responses!$1:$1,0)),1)="N","NA",VALUE(LEFT(INDEX(Responses!$A$4:$ZZ$4,1,MATCH(M$6,Responses!$1:$1,0)),1))))</f>
        <v>3</v>
      </c>
      <c r="N9">
        <f>IF(INDEX(Responses!$A$4:$ZZ$4,1,MATCH(N$6,Responses!$1:$1,0))&amp;""="","",IF(LEFT(INDEX(Responses!$A$4:$ZZ$4,1,MATCH(N$6,Responses!$1:$1,0)),1)="N","NA",VALUE(LEFT(INDEX(Responses!$A$4:$ZZ$4,1,MATCH(N$6,Responses!$1:$1,0)),1))))</f>
        <v>2</v>
      </c>
      <c r="O9">
        <f>IF(INDEX(Responses!$A$4:$ZZ$4,1,MATCH(O$6,Responses!$1:$1,0))&amp;""="","",IF(LEFT(INDEX(Responses!$A$4:$ZZ$4,1,MATCH(O$6,Responses!$1:$1,0)),1)="N","NA",VALUE(LEFT(INDEX(Responses!$A$4:$ZZ$4,1,MATCH(O$6,Responses!$1:$1,0)),1))))</f>
        <v>2</v>
      </c>
      <c r="P9">
        <f>IF(INDEX(Responses!$A$4:$ZZ$4,1,MATCH(P$6,Responses!$1:$1,0))&amp;""="","",IF(LEFT(INDEX(Responses!$A$4:$ZZ$4,1,MATCH(P$6,Responses!$1:$1,0)),1)="N","NA",VALUE(LEFT(INDEX(Responses!$A$4:$ZZ$4,1,MATCH(P$6,Responses!$1:$1,0)),1))))</f>
        <v>3</v>
      </c>
      <c r="Q9">
        <f>IF(INDEX(Responses!$A$4:$ZZ$4,1,MATCH(Q$6,Responses!$1:$1,0))&amp;""="","",IF(LEFT(INDEX(Responses!$A$4:$ZZ$4,1,MATCH(Q$6,Responses!$1:$1,0)),1)="N","NA",VALUE(LEFT(INDEX(Responses!$A$4:$ZZ$4,1,MATCH(Q$6,Responses!$1:$1,0)),1))))</f>
        <v>2</v>
      </c>
      <c r="R9">
        <f>IF(INDEX(Responses!$A$4:$ZZ$4,1,MATCH(R$6,Responses!$1:$1,0))&amp;""="","",IF(LEFT(INDEX(Responses!$A$4:$ZZ$4,1,MATCH(R$6,Responses!$1:$1,0)),1)="N","NA",VALUE(LEFT(INDEX(Responses!$A$4:$ZZ$4,1,MATCH(R$6,Responses!$1:$1,0)),1))))</f>
        <v>3</v>
      </c>
      <c r="S9">
        <f>IF(INDEX(Responses!$A$4:$ZZ$4,1,MATCH(S$6,Responses!$1:$1,0))&amp;""="","",IF(LEFT(INDEX(Responses!$A$4:$ZZ$4,1,MATCH(S$6,Responses!$1:$1,0)),1)="N","NA",VALUE(LEFT(INDEX(Responses!$A$4:$ZZ$4,1,MATCH(S$6,Responses!$1:$1,0)),1))))</f>
        <v>3</v>
      </c>
      <c r="T9">
        <f>IF(INDEX(Responses!$A$4:$ZZ$4,1,MATCH(T$6,Responses!$1:$1,0))&amp;""="","",IF(LEFT(INDEX(Responses!$A$4:$ZZ$4,1,MATCH(T$6,Responses!$1:$1,0)),1)="N","NA",VALUE(LEFT(INDEX(Responses!$A$4:$ZZ$4,1,MATCH(T$6,Responses!$1:$1,0)),1))))</f>
        <v>3</v>
      </c>
      <c r="U9">
        <f>IF(INDEX(Responses!$A$4:$ZZ$4,1,MATCH(U$6,Responses!$1:$1,0))&amp;""="","",IF(LEFT(INDEX(Responses!$A$4:$ZZ$4,1,MATCH(U$6,Responses!$1:$1,0)),1)="N","NA",VALUE(LEFT(INDEX(Responses!$A$4:$ZZ$4,1,MATCH(U$6,Responses!$1:$1,0)),1))))</f>
        <v>2</v>
      </c>
      <c r="V9">
        <f>IF(INDEX(Responses!$A$4:$ZZ$4,1,MATCH(V$6,Responses!$1:$1,0))&amp;""="","",IF(LEFT(INDEX(Responses!$A$4:$ZZ$4,1,MATCH(V$6,Responses!$1:$1,0)),1)="N","NA",VALUE(LEFT(INDEX(Responses!$A$4:$ZZ$4,1,MATCH(V$6,Responses!$1:$1,0)),1))))</f>
        <v>4</v>
      </c>
      <c r="W9">
        <f>IF(INDEX(Responses!$A$4:$ZZ$4,1,MATCH(W$6,Responses!$1:$1,0))&amp;""="","",IF(LEFT(INDEX(Responses!$A$4:$ZZ$4,1,MATCH(W$6,Responses!$1:$1,0)),1)="N","NA",VALUE(LEFT(INDEX(Responses!$A$4:$ZZ$4,1,MATCH(W$6,Responses!$1:$1,0)),1))))</f>
        <v>3</v>
      </c>
      <c r="X9">
        <f>IF(INDEX(Responses!$A$4:$ZZ$4,1,MATCH(X$6,Responses!$1:$1,0))&amp;""="","",IF(LEFT(INDEX(Responses!$A$4:$ZZ$4,1,MATCH(X$6,Responses!$1:$1,0)),1)="N","NA",VALUE(LEFT(INDEX(Responses!$A$4:$ZZ$4,1,MATCH(X$6,Responses!$1:$1,0)),1))))</f>
        <v>4</v>
      </c>
      <c r="Y9">
        <f>IF(INDEX(Responses!$A$4:$ZZ$4,1,MATCH(Y$6,Responses!$1:$1,0))&amp;""="","",IF(LEFT(INDEX(Responses!$A$4:$ZZ$4,1,MATCH(Y$6,Responses!$1:$1,0)),1)="N","NA",VALUE(LEFT(INDEX(Responses!$A$4:$ZZ$4,1,MATCH(Y$6,Responses!$1:$1,0)),1))))</f>
        <v>5</v>
      </c>
      <c r="Z9">
        <f>IF(INDEX(Responses!$A$4:$ZZ$4,1,MATCH(Z$6,Responses!$1:$1,0))&amp;""="","",IF(LEFT(INDEX(Responses!$A$4:$ZZ$4,1,MATCH(Z$6,Responses!$1:$1,0)),1)="N","NA",VALUE(LEFT(INDEX(Responses!$A$4:$ZZ$4,1,MATCH(Z$6,Responses!$1:$1,0)),1))))</f>
        <v>4</v>
      </c>
      <c r="AA9">
        <f>IF(INDEX(Responses!$A$4:$ZZ$4,1,MATCH(AA$6,Responses!$1:$1,0))&amp;""="","",IF(LEFT(INDEX(Responses!$A$4:$ZZ$4,1,MATCH(AA$6,Responses!$1:$1,0)),1)="N","NA",VALUE(LEFT(INDEX(Responses!$A$4:$ZZ$4,1,MATCH(AA$6,Responses!$1:$1,0)),1))))</f>
        <v>2</v>
      </c>
      <c r="AB9">
        <f>IF(INDEX(Responses!$A$4:$ZZ$4,1,MATCH(AB$6,Responses!$1:$1,0))&amp;""="","",IF(LEFT(INDEX(Responses!$A$4:$ZZ$4,1,MATCH(AB$6,Responses!$1:$1,0)),1)="N","NA",VALUE(LEFT(INDEX(Responses!$A$4:$ZZ$4,1,MATCH(AB$6,Responses!$1:$1,0)),1))))</f>
        <v>2</v>
      </c>
      <c r="AC9">
        <f>IF(INDEX(Responses!$A$4:$ZZ$4,1,MATCH(AC$6,Responses!$1:$1,0))&amp;""="","",IF(LEFT(INDEX(Responses!$A$4:$ZZ$4,1,MATCH(AC$6,Responses!$1:$1,0)),1)="N","NA",VALUE(LEFT(INDEX(Responses!$A$4:$ZZ$4,1,MATCH(AC$6,Responses!$1:$1,0)),1))))</f>
        <v>4</v>
      </c>
      <c r="AD9">
        <f>IF(INDEX(Responses!$A$4:$ZZ$4,1,MATCH(AD$6,Responses!$1:$1,0))&amp;""="","",IF(LEFT(INDEX(Responses!$A$4:$ZZ$4,1,MATCH(AD$6,Responses!$1:$1,0)),1)="N","NA",VALUE(LEFT(INDEX(Responses!$A$4:$ZZ$4,1,MATCH(AD$6,Responses!$1:$1,0)),1))))</f>
        <v>3</v>
      </c>
      <c r="AE9">
        <f>IF(INDEX(Responses!$A$4:$ZZ$4,1,MATCH(AE$6,Responses!$1:$1,0))&amp;""="","",IF(LEFT(INDEX(Responses!$A$4:$ZZ$4,1,MATCH(AE$6,Responses!$1:$1,0)),1)="N","NA",VALUE(LEFT(INDEX(Responses!$A$4:$ZZ$4,1,MATCH(AE$6,Responses!$1:$1,0)),1))))</f>
        <v>5</v>
      </c>
      <c r="AF9">
        <f>IF(INDEX(Responses!$A$4:$ZZ$4,1,MATCH(AF$6,Responses!$1:$1,0))&amp;""="","",IF(LEFT(INDEX(Responses!$A$4:$ZZ$4,1,MATCH(AF$6,Responses!$1:$1,0)),1)="N","NA",VALUE(LEFT(INDEX(Responses!$A$4:$ZZ$4,1,MATCH(AF$6,Responses!$1:$1,0)),1))))</f>
        <v>3</v>
      </c>
      <c r="AG9">
        <f>IF(INDEX(Responses!$A$4:$ZZ$4,1,MATCH(AG$6,Responses!$1:$1,0))&amp;""="","",IF(LEFT(INDEX(Responses!$A$4:$ZZ$4,1,MATCH(AG$6,Responses!$1:$1,0)),1)="N","NA",VALUE(LEFT(INDEX(Responses!$A$4:$ZZ$4,1,MATCH(AG$6,Responses!$1:$1,0)),1))))</f>
        <v>5</v>
      </c>
      <c r="AH9">
        <f>IF(INDEX(Responses!$A$4:$ZZ$4,1,MATCH(AH$6,Responses!$1:$1,0))&amp;""="","",IF(LEFT(INDEX(Responses!$A$4:$ZZ$4,1,MATCH(AH$6,Responses!$1:$1,0)),1)="N","NA",VALUE(LEFT(INDEX(Responses!$A$4:$ZZ$4,1,MATCH(AH$6,Responses!$1:$1,0)),1))))</f>
        <v>4</v>
      </c>
      <c r="AI9">
        <f>IF(INDEX(Responses!$A$4:$ZZ$4,1,MATCH(AI$6,Responses!$1:$1,0))&amp;""="","",IF(LEFT(INDEX(Responses!$A$4:$ZZ$4,1,MATCH(AI$6,Responses!$1:$1,0)),1)="N","NA",VALUE(LEFT(INDEX(Responses!$A$4:$ZZ$4,1,MATCH(AI$6,Responses!$1:$1,0)),1))))</f>
        <v>3</v>
      </c>
      <c r="AJ9">
        <f>IF(INDEX(Responses!$A$4:$ZZ$4,1,MATCH(AJ$6,Responses!$1:$1,0))&amp;""="","",IF(LEFT(INDEX(Responses!$A$4:$ZZ$4,1,MATCH(AJ$6,Responses!$1:$1,0)),1)="N","NA",VALUE(LEFT(INDEX(Responses!$A$4:$ZZ$4,1,MATCH(AJ$6,Responses!$1:$1,0)),1))))</f>
        <v>2</v>
      </c>
      <c r="AK9">
        <f>IF(INDEX(Responses!$A$4:$ZZ$4,1,MATCH(AK$6,Responses!$1:$1,0))&amp;""="","",IF(LEFT(INDEX(Responses!$A$4:$ZZ$4,1,MATCH(AK$6,Responses!$1:$1,0)),1)="N","NA",VALUE(LEFT(INDEX(Responses!$A$4:$ZZ$4,1,MATCH(AK$6,Responses!$1:$1,0)),1))))</f>
        <v>5</v>
      </c>
      <c r="AL9">
        <f>IF(INDEX(Responses!$A$4:$ZZ$4,1,MATCH(AL$6,Responses!$1:$1,0))&amp;""="","",IF(LEFT(INDEX(Responses!$A$4:$ZZ$4,1,MATCH(AL$6,Responses!$1:$1,0)),1)="N","NA",VALUE(LEFT(INDEX(Responses!$A$4:$ZZ$4,1,MATCH(AL$6,Responses!$1:$1,0)),1))))</f>
        <v>3</v>
      </c>
      <c r="AM9">
        <f>IF(INDEX(Responses!$A$4:$ZZ$4,1,MATCH(AM$6,Responses!$1:$1,0))&amp;""="","",IF(LEFT(INDEX(Responses!$A$4:$ZZ$4,1,MATCH(AM$6,Responses!$1:$1,0)),1)="N","NA",VALUE(LEFT(INDEX(Responses!$A$4:$ZZ$4,1,MATCH(AM$6,Responses!$1:$1,0)),1))))</f>
        <v>5</v>
      </c>
      <c r="AN9">
        <f>IF(INDEX(Responses!$A$4:$ZZ$4,1,MATCH(AN$6,Responses!$1:$1,0))&amp;""="","",IF(LEFT(INDEX(Responses!$A$4:$ZZ$4,1,MATCH(AN$6,Responses!$1:$1,0)),1)="N","NA",VALUE(LEFT(INDEX(Responses!$A$4:$ZZ$4,1,MATCH(AN$6,Responses!$1:$1,0)),1))))</f>
        <v>4</v>
      </c>
      <c r="AO9">
        <f>IF(INDEX(Responses!$A$4:$ZZ$4,1,MATCH(AO$6,Responses!$1:$1,0))&amp;""="","",IF(LEFT(INDEX(Responses!$A$4:$ZZ$4,1,MATCH(AO$6,Responses!$1:$1,0)),1)="N","NA",VALUE(LEFT(INDEX(Responses!$A$4:$ZZ$4,1,MATCH(AO$6,Responses!$1:$1,0)),1))))</f>
        <v>4</v>
      </c>
      <c r="AP9">
        <f>IF(INDEX(Responses!$A$4:$ZZ$4,1,MATCH(AP$6,Responses!$1:$1,0))&amp;""="","",IF(LEFT(INDEX(Responses!$A$4:$ZZ$4,1,MATCH(AP$6,Responses!$1:$1,0)),1)="N","NA",VALUE(LEFT(INDEX(Responses!$A$4:$ZZ$4,1,MATCH(AP$6,Responses!$1:$1,0)),1))))</f>
        <v>2</v>
      </c>
      <c r="AQ9">
        <f>IF(INDEX(Responses!$A$4:$ZZ$4,1,MATCH(AQ$6,Responses!$1:$1,0))&amp;""="","",IF(LEFT(INDEX(Responses!$A$4:$ZZ$4,1,MATCH(AQ$6,Responses!$1:$1,0)),1)="N","NA",VALUE(LEFT(INDEX(Responses!$A$4:$ZZ$4,1,MATCH(AQ$6,Responses!$1:$1,0)),1))))</f>
        <v>2</v>
      </c>
      <c r="AR9">
        <f>IF(INDEX(Responses!$A$4:$ZZ$4,1,MATCH(AR$6,Responses!$1:$1,0))&amp;""="","",IF(LEFT(INDEX(Responses!$A$4:$ZZ$4,1,MATCH(AR$6,Responses!$1:$1,0)),1)="N","NA",VALUE(LEFT(INDEX(Responses!$A$4:$ZZ$4,1,MATCH(AR$6,Responses!$1:$1,0)),1))))</f>
        <v>1</v>
      </c>
      <c r="AS9">
        <f>IF(INDEX(Responses!$A$4:$ZZ$4,1,MATCH(AS$6,Responses!$1:$1,0))&amp;""="","",IF(LEFT(INDEX(Responses!$A$4:$ZZ$4,1,MATCH(AS$6,Responses!$1:$1,0)),1)="N","NA",VALUE(LEFT(INDEX(Responses!$A$4:$ZZ$4,1,MATCH(AS$6,Responses!$1:$1,0)),1))))</f>
        <v>1</v>
      </c>
      <c r="AT9">
        <f>IF(INDEX(Responses!$A$4:$ZZ$4,1,MATCH(AT$6,Responses!$1:$1,0))&amp;""="","",IF(LEFT(INDEX(Responses!$A$4:$ZZ$4,1,MATCH(AT$6,Responses!$1:$1,0)),1)="N","NA",VALUE(LEFT(INDEX(Responses!$A$4:$ZZ$4,1,MATCH(AT$6,Responses!$1:$1,0)),1))))</f>
        <v>3</v>
      </c>
      <c r="AU9">
        <f>IF(INDEX(Responses!$A$4:$ZZ$4,1,MATCH(AU$6,Responses!$1:$1,0))&amp;""="","",IF(LEFT(INDEX(Responses!$A$4:$ZZ$4,1,MATCH(AU$6,Responses!$1:$1,0)),1)="N","NA",VALUE(LEFT(INDEX(Responses!$A$4:$ZZ$4,1,MATCH(AU$6,Responses!$1:$1,0)),1))))</f>
        <v>1</v>
      </c>
      <c r="AV9">
        <f>IF(INDEX(Responses!$A$4:$ZZ$4,1,MATCH(AV$6,Responses!$1:$1,0))&amp;""="","",IF(LEFT(INDEX(Responses!$A$4:$ZZ$4,1,MATCH(AV$6,Responses!$1:$1,0)),1)="N","NA",VALUE(LEFT(INDEX(Responses!$A$4:$ZZ$4,1,MATCH(AV$6,Responses!$1:$1,0)),1))))</f>
        <v>4</v>
      </c>
      <c r="AW9">
        <f>IF(INDEX(Responses!$A$4:$ZZ$4,1,MATCH(AW$6,Responses!$1:$1,0))&amp;""="","",IF(LEFT(INDEX(Responses!$A$4:$ZZ$4,1,MATCH(AW$6,Responses!$1:$1,0)),1)="N","NA",VALUE(LEFT(INDEX(Responses!$A$4:$ZZ$4,1,MATCH(AW$6,Responses!$1:$1,0)),1))))</f>
        <v>2</v>
      </c>
      <c r="AX9">
        <f>IF(INDEX(Responses!$A$4:$ZZ$4,1,MATCH(AX$6,Responses!$1:$1,0))&amp;""="","",IF(LEFT(INDEX(Responses!$A$4:$ZZ$4,1,MATCH(AX$6,Responses!$1:$1,0)),1)="N","NA",VALUE(LEFT(INDEX(Responses!$A$4:$ZZ$4,1,MATCH(AX$6,Responses!$1:$1,0)),1))))</f>
        <v>2</v>
      </c>
      <c r="AY9">
        <f>IF(INDEX(Responses!$A$4:$ZZ$4,1,MATCH(AY$6,Responses!$1:$1,0))&amp;""="","",IF(LEFT(INDEX(Responses!$A$4:$ZZ$4,1,MATCH(AY$6,Responses!$1:$1,0)),1)="N","NA",VALUE(LEFT(INDEX(Responses!$A$4:$ZZ$4,1,MATCH(AY$6,Responses!$1:$1,0)),1))))</f>
        <v>5</v>
      </c>
      <c r="AZ9">
        <f>IF(INDEX(Responses!$A$4:$ZZ$4,1,MATCH(AZ$6,Responses!$1:$1,0))&amp;""="","",IF(LEFT(INDEX(Responses!$A$4:$ZZ$4,1,MATCH(AZ$6,Responses!$1:$1,0)),1)="N","NA",VALUE(LEFT(INDEX(Responses!$A$4:$ZZ$4,1,MATCH(AZ$6,Responses!$1:$1,0)),1))))</f>
        <v>3</v>
      </c>
      <c r="BA9">
        <f>IF(INDEX(Responses!$A$4:$ZZ$4,1,MATCH(BA$6,Responses!$1:$1,0))&amp;""="","",IF(LEFT(INDEX(Responses!$A$4:$ZZ$4,1,MATCH(BA$6,Responses!$1:$1,0)),1)="N","NA",VALUE(LEFT(INDEX(Responses!$A$4:$ZZ$4,1,MATCH(BA$6,Responses!$1:$1,0)),1))))</f>
        <v>4</v>
      </c>
      <c r="BB9">
        <f>IF(INDEX(Responses!$A$4:$ZZ$4,1,MATCH(BB$6,Responses!$1:$1,0))&amp;""="","",IF(LEFT(INDEX(Responses!$A$4:$ZZ$4,1,MATCH(BB$6,Responses!$1:$1,0)),1)="N","NA",VALUE(LEFT(INDEX(Responses!$A$4:$ZZ$4,1,MATCH(BB$6,Responses!$1:$1,0)),1))))</f>
        <v>1</v>
      </c>
      <c r="BC9">
        <f>IF(INDEX(Responses!$A$4:$ZZ$4,1,MATCH(BC$6,Responses!$1:$1,0))&amp;""="","",IF(LEFT(INDEX(Responses!$A$4:$ZZ$4,1,MATCH(BC$6,Responses!$1:$1,0)),1)="N","NA",VALUE(LEFT(INDEX(Responses!$A$4:$ZZ$4,1,MATCH(BC$6,Responses!$1:$1,0)),1))))</f>
        <v>5</v>
      </c>
      <c r="BD9">
        <f>IF(INDEX(Responses!$A$4:$ZZ$4,1,MATCH(BD$6,Responses!$1:$1,0))&amp;""="","",IF(LEFT(INDEX(Responses!$A$4:$ZZ$4,1,MATCH(BD$6,Responses!$1:$1,0)),1)="N","NA",VALUE(LEFT(INDEX(Responses!$A$4:$ZZ$4,1,MATCH(BD$6,Responses!$1:$1,0)),1))))</f>
        <v>4</v>
      </c>
      <c r="BE9">
        <f>IF(INDEX(Responses!$A$4:$ZZ$4,1,MATCH(BE$6,Responses!$1:$1,0))&amp;""="","",IF(LEFT(INDEX(Responses!$A$4:$ZZ$4,1,MATCH(BE$6,Responses!$1:$1,0)),1)="N","NA",VALUE(LEFT(INDEX(Responses!$A$4:$ZZ$4,1,MATCH(BE$6,Responses!$1:$1,0)),1))))</f>
        <v>3</v>
      </c>
      <c r="BF9">
        <f>IF(INDEX(Responses!$A$4:$ZZ$4,1,MATCH(BF$6,Responses!$1:$1,0))&amp;""="","",IF(LEFT(INDEX(Responses!$A$4:$ZZ$4,1,MATCH(BF$6,Responses!$1:$1,0)),1)="N","NA",VALUE(LEFT(INDEX(Responses!$A$4:$ZZ$4,1,MATCH(BF$6,Responses!$1:$1,0)),1))))</f>
        <v>1</v>
      </c>
      <c r="BG9">
        <f>IF(INDEX(Responses!$A$4:$ZZ$4,1,MATCH(BG$6,Responses!$1:$1,0))&amp;""="","",IF(LEFT(INDEX(Responses!$A$4:$ZZ$4,1,MATCH(BG$6,Responses!$1:$1,0)),1)="N","NA",VALUE(LEFT(INDEX(Responses!$A$4:$ZZ$4,1,MATCH(BG$6,Responses!$1:$1,0)),1))))</f>
        <v>3</v>
      </c>
      <c r="BH9">
        <f>IF(INDEX(Responses!$A$4:$ZZ$4,1,MATCH(BH$6,Responses!$1:$1,0))&amp;""="","",IF(LEFT(INDEX(Responses!$A$4:$ZZ$4,1,MATCH(BH$6,Responses!$1:$1,0)),1)="N","NA",VALUE(LEFT(INDEX(Responses!$A$4:$ZZ$4,1,MATCH(BH$6,Responses!$1:$1,0)),1))))</f>
        <v>3</v>
      </c>
      <c r="BI9">
        <f>IF(INDEX(Responses!$A$4:$ZZ$4,1,MATCH(BI$6,Responses!$1:$1,0))&amp;""="","",IF(LEFT(INDEX(Responses!$A$4:$ZZ$4,1,MATCH(BI$6,Responses!$1:$1,0)),1)="N","NA",VALUE(LEFT(INDEX(Responses!$A$4:$ZZ$4,1,MATCH(BI$6,Responses!$1:$1,0)),1))))</f>
        <v>4</v>
      </c>
      <c r="BJ9">
        <f>IF(INDEX(Responses!$A$4:$ZZ$4,1,MATCH(BJ$6,Responses!$1:$1,0))&amp;""="","",IF(LEFT(INDEX(Responses!$A$4:$ZZ$4,1,MATCH(BJ$6,Responses!$1:$1,0)),1)="N","NA",VALUE(LEFT(INDEX(Responses!$A$4:$ZZ$4,1,MATCH(BJ$6,Responses!$1:$1,0)),1))))</f>
        <v>1</v>
      </c>
      <c r="BK9">
        <f>IF(INDEX(Responses!$A$4:$ZZ$4,1,MATCH(BK$6,Responses!$1:$1,0))&amp;""="","",IF(LEFT(INDEX(Responses!$A$4:$ZZ$4,1,MATCH(BK$6,Responses!$1:$1,0)),1)="N","NA",VALUE(LEFT(INDEX(Responses!$A$4:$ZZ$4,1,MATCH(BK$6,Responses!$1:$1,0)),1))))</f>
        <v>4</v>
      </c>
      <c r="BL9">
        <f>IF(INDEX(Responses!$A$4:$ZZ$4,1,MATCH(BL$6,Responses!$1:$1,0))&amp;""="","",IF(LEFT(INDEX(Responses!$A$4:$ZZ$4,1,MATCH(BL$6,Responses!$1:$1,0)),1)="N","NA",VALUE(LEFT(INDEX(Responses!$A$4:$ZZ$4,1,MATCH(BL$6,Responses!$1:$1,0)),1))))</f>
        <v>3</v>
      </c>
      <c r="BM9">
        <f>IF(INDEX(Responses!$A$4:$ZZ$4,1,MATCH(BM$6,Responses!$1:$1,0))&amp;""="","",IF(LEFT(INDEX(Responses!$A$4:$ZZ$4,1,MATCH(BM$6,Responses!$1:$1,0)),1)="N","NA",VALUE(LEFT(INDEX(Responses!$A$4:$ZZ$4,1,MATCH(BM$6,Responses!$1:$1,0)),1))))</f>
        <v>3</v>
      </c>
      <c r="BN9">
        <f>IF(INDEX(Responses!$A$4:$ZZ$4,1,MATCH(BN$6,Responses!$1:$1,0))&amp;""="","",IF(LEFT(INDEX(Responses!$A$4:$ZZ$4,1,MATCH(BN$6,Responses!$1:$1,0)),1)="N","NA",VALUE(LEFT(INDEX(Responses!$A$4:$ZZ$4,1,MATCH(BN$6,Responses!$1:$1,0)),1))))</f>
        <v>3</v>
      </c>
      <c r="BO9">
        <f>IF(INDEX(Responses!$A$4:$ZZ$4,1,MATCH(BO$6,Responses!$1:$1,0))&amp;""="","",IF(LEFT(INDEX(Responses!$A$4:$ZZ$4,1,MATCH(BO$6,Responses!$1:$1,0)),1)="N","NA",VALUE(LEFT(INDEX(Responses!$A$4:$ZZ$4,1,MATCH(BO$6,Responses!$1:$1,0)),1))))</f>
        <v>4</v>
      </c>
      <c r="BP9">
        <f>IF(INDEX(Responses!$A$4:$ZZ$4,1,MATCH(BP$6,Responses!$1:$1,0))&amp;""="","",IF(LEFT(INDEX(Responses!$A$4:$ZZ$4,1,MATCH(BP$6,Responses!$1:$1,0)),1)="N","NA",VALUE(LEFT(INDEX(Responses!$A$4:$ZZ$4,1,MATCH(BP$6,Responses!$1:$1,0)),1))))</f>
        <v>4</v>
      </c>
      <c r="BQ9">
        <f>IF(INDEX(Responses!$A$4:$ZZ$4,1,MATCH(BQ$6,Responses!$1:$1,0))&amp;""="","",IF(LEFT(INDEX(Responses!$A$4:$ZZ$4,1,MATCH(BQ$6,Responses!$1:$1,0)),1)="N","NA",VALUE(LEFT(INDEX(Responses!$A$4:$ZZ$4,1,MATCH(BQ$6,Responses!$1:$1,0)),1))))</f>
        <v>4</v>
      </c>
      <c r="BR9">
        <f>IF(INDEX(Responses!$A$4:$ZZ$4,1,MATCH(BR$6,Responses!$1:$1,0))&amp;""="","",IF(LEFT(INDEX(Responses!$A$4:$ZZ$4,1,MATCH(BR$6,Responses!$1:$1,0)),1)="N","NA",VALUE(LEFT(INDEX(Responses!$A$4:$ZZ$4,1,MATCH(BR$6,Responses!$1:$1,0)),1))))</f>
        <v>2</v>
      </c>
      <c r="BS9">
        <f>IF(INDEX(Responses!$A$4:$ZZ$4,1,MATCH(BS$6,Responses!$1:$1,0))&amp;""="","",IF(LEFT(INDEX(Responses!$A$4:$ZZ$4,1,MATCH(BS$6,Responses!$1:$1,0)),1)="N","NA",VALUE(LEFT(INDEX(Responses!$A$4:$ZZ$4,1,MATCH(BS$6,Responses!$1:$1,0)),1))))</f>
        <v>4</v>
      </c>
      <c r="BT9">
        <f>IF(INDEX(Responses!$A$4:$ZZ$4,1,MATCH(BT$6,Responses!$1:$1,0))&amp;""="","",IF(LEFT(INDEX(Responses!$A$4:$ZZ$4,1,MATCH(BT$6,Responses!$1:$1,0)),1)="N","NA",VALUE(LEFT(INDEX(Responses!$A$4:$ZZ$4,1,MATCH(BT$6,Responses!$1:$1,0)),1))))</f>
        <v>3</v>
      </c>
      <c r="BU9">
        <f>IF(INDEX(Responses!$A$4:$ZZ$4,1,MATCH(BU$6,Responses!$1:$1,0))&amp;""="","",IF(LEFT(INDEX(Responses!$A$4:$ZZ$4,1,MATCH(BU$6,Responses!$1:$1,0)),1)="N","NA",VALUE(LEFT(INDEX(Responses!$A$4:$ZZ$4,1,MATCH(BU$6,Responses!$1:$1,0)),1))))</f>
        <v>3</v>
      </c>
      <c r="BV9">
        <f>IF(INDEX(Responses!$A$4:$ZZ$4,1,MATCH(BV$6,Responses!$1:$1,0))&amp;""="","",IF(LEFT(INDEX(Responses!$A$4:$ZZ$4,1,MATCH(BV$6,Responses!$1:$1,0)),1)="N","NA",VALUE(LEFT(INDEX(Responses!$A$4:$ZZ$4,1,MATCH(BV$6,Responses!$1:$1,0)),1))))</f>
        <v>4</v>
      </c>
      <c r="BW9">
        <f>IF(INDEX(Responses!$A$4:$ZZ$4,1,MATCH(BW$6,Responses!$1:$1,0))&amp;""="","",IF(LEFT(INDEX(Responses!$A$4:$ZZ$4,1,MATCH(BW$6,Responses!$1:$1,0)),1)="N","NA",VALUE(LEFT(INDEX(Responses!$A$4:$ZZ$4,1,MATCH(BW$6,Responses!$1:$1,0)),1))))</f>
        <v>2</v>
      </c>
      <c r="BX9">
        <f>IF(INDEX(Responses!$A$4:$ZZ$4,1,MATCH(BX$6,Responses!$1:$1,0))&amp;""="","",IF(LEFT(INDEX(Responses!$A$4:$ZZ$4,1,MATCH(BX$6,Responses!$1:$1,0)),1)="N","NA",VALUE(LEFT(INDEX(Responses!$A$4:$ZZ$4,1,MATCH(BX$6,Responses!$1:$1,0)),1))))</f>
        <v>2</v>
      </c>
      <c r="BY9">
        <f>IF(INDEX(Responses!$A$4:$ZZ$4,1,MATCH(BY$6,Responses!$1:$1,0))&amp;""="","",IF(LEFT(INDEX(Responses!$A$4:$ZZ$4,1,MATCH(BY$6,Responses!$1:$1,0)),1)="N","NA",VALUE(LEFT(INDEX(Responses!$A$4:$ZZ$4,1,MATCH(BY$6,Responses!$1:$1,0)),1))))</f>
        <v>1</v>
      </c>
      <c r="BZ9">
        <f>IF(INDEX(Responses!$A$4:$ZZ$4,1,MATCH(BZ$6,Responses!$1:$1,0))&amp;""="","",IF(LEFT(INDEX(Responses!$A$4:$ZZ$4,1,MATCH(BZ$6,Responses!$1:$1,0)),1)="N","NA",VALUE(LEFT(INDEX(Responses!$A$4:$ZZ$4,1,MATCH(BZ$6,Responses!$1:$1,0)),1))))</f>
        <v>3</v>
      </c>
      <c r="CA9">
        <f>IF(INDEX(Responses!$A$4:$ZZ$4,1,MATCH(CA$6,Responses!$1:$1,0))&amp;""="","",IF(LEFT(INDEX(Responses!$A$4:$ZZ$4,1,MATCH(CA$6,Responses!$1:$1,0)),1)="N","NA",VALUE(LEFT(INDEX(Responses!$A$4:$ZZ$4,1,MATCH(CA$6,Responses!$1:$1,0)),1))))</f>
        <v>2</v>
      </c>
      <c r="CB9">
        <f>IF(INDEX(Responses!$A$4:$ZZ$4,1,MATCH(CB$6,Responses!$1:$1,0))&amp;""="","",IF(LEFT(INDEX(Responses!$A$4:$ZZ$4,1,MATCH(CB$6,Responses!$1:$1,0)),1)="N","NA",VALUE(LEFT(INDEX(Responses!$A$4:$ZZ$4,1,MATCH(CB$6,Responses!$1:$1,0)),1))))</f>
        <v>3</v>
      </c>
      <c r="CC9">
        <f>IF(INDEX(Responses!$A$4:$ZZ$4,1,MATCH(CC$6,Responses!$1:$1,0))&amp;""="","",IF(LEFT(INDEX(Responses!$A$4:$ZZ$4,1,MATCH(CC$6,Responses!$1:$1,0)),1)="N","NA",VALUE(LEFT(INDEX(Responses!$A$4:$ZZ$4,1,MATCH(CC$6,Responses!$1:$1,0)),1))))</f>
        <v>3</v>
      </c>
      <c r="CD9">
        <f>IF(INDEX(Responses!$A$4:$ZZ$4,1,MATCH(CD$6,Responses!$1:$1,0))&amp;""="","",IF(LEFT(INDEX(Responses!$A$4:$ZZ$4,1,MATCH(CD$6,Responses!$1:$1,0)),1)="N","NA",VALUE(LEFT(INDEX(Responses!$A$4:$ZZ$4,1,MATCH(CD$6,Responses!$1:$1,0)),1))))</f>
        <v>3</v>
      </c>
      <c r="CE9">
        <f>IF(INDEX(Responses!$A$4:$ZZ$4,1,MATCH(CE$6,Responses!$1:$1,0))&amp;""="","",IF(LEFT(INDEX(Responses!$A$4:$ZZ$4,1,MATCH(CE$6,Responses!$1:$1,0)),1)="N","NA",VALUE(LEFT(INDEX(Responses!$A$4:$ZZ$4,1,MATCH(CE$6,Responses!$1:$1,0)),1))))</f>
        <v>3</v>
      </c>
      <c r="CF9">
        <f>IF(INDEX(Responses!$A$4:$ZZ$4,1,MATCH(CF$6,Responses!$1:$1,0))&amp;""="","",IF(LEFT(INDEX(Responses!$A$4:$ZZ$4,1,MATCH(CF$6,Responses!$1:$1,0)),1)="N","NA",VALUE(LEFT(INDEX(Responses!$A$4:$ZZ$4,1,MATCH(CF$6,Responses!$1:$1,0)),1))))</f>
        <v>2</v>
      </c>
      <c r="CG9">
        <f>IF(INDEX(Responses!$A$4:$ZZ$4,1,MATCH(CG$6,Responses!$1:$1,0))&amp;""="","",IF(LEFT(INDEX(Responses!$A$4:$ZZ$4,1,MATCH(CG$6,Responses!$1:$1,0)),1)="N","NA",VALUE(LEFT(INDEX(Responses!$A$4:$ZZ$4,1,MATCH(CG$6,Responses!$1:$1,0)),1))))</f>
        <v>2</v>
      </c>
      <c r="CH9">
        <f>IF(INDEX(Responses!$A$4:$ZZ$4,1,MATCH(CH$6,Responses!$1:$1,0))&amp;""="","",IF(LEFT(INDEX(Responses!$A$4:$ZZ$4,1,MATCH(CH$6,Responses!$1:$1,0)),1)="N","NA",VALUE(LEFT(INDEX(Responses!$A$4:$ZZ$4,1,MATCH(CH$6,Responses!$1:$1,0)),1))))</f>
        <v>3</v>
      </c>
      <c r="CI9">
        <f>IF(INDEX(Responses!$A$4:$ZZ$4,1,MATCH(CI$6,Responses!$1:$1,0))&amp;""="","",IF(LEFT(INDEX(Responses!$A$4:$ZZ$4,1,MATCH(CI$6,Responses!$1:$1,0)),1)="N","NA",VALUE(LEFT(INDEX(Responses!$A$4:$ZZ$4,1,MATCH(CI$6,Responses!$1:$1,0)),1))))</f>
        <v>4</v>
      </c>
      <c r="CJ9">
        <f>IF(INDEX(Responses!$A$4:$ZZ$4,1,MATCH(CJ$6,Responses!$1:$1,0))&amp;""="","",IF(LEFT(INDEX(Responses!$A$4:$ZZ$4,1,MATCH(CJ$6,Responses!$1:$1,0)),1)="N","NA",VALUE(LEFT(INDEX(Responses!$A$4:$ZZ$4,1,MATCH(CJ$6,Responses!$1:$1,0)),1))))</f>
        <v>1</v>
      </c>
      <c r="CK9">
        <f>IF(INDEX(Responses!$A$4:$ZZ$4,1,MATCH(CK$6,Responses!$1:$1,0))&amp;""="","",IF(LEFT(INDEX(Responses!$A$4:$ZZ$4,1,MATCH(CK$6,Responses!$1:$1,0)),1)="N","NA",VALUE(LEFT(INDEX(Responses!$A$4:$ZZ$4,1,MATCH(CK$6,Responses!$1:$1,0)),1))))</f>
        <v>3</v>
      </c>
      <c r="CL9">
        <f>IF(INDEX(Responses!$A$4:$ZZ$4,1,MATCH(CL$6,Responses!$1:$1,0))&amp;""="","",IF(LEFT(INDEX(Responses!$A$4:$ZZ$4,1,MATCH(CL$6,Responses!$1:$1,0)),1)="N","NA",VALUE(LEFT(INDEX(Responses!$A$4:$ZZ$4,1,MATCH(CL$6,Responses!$1:$1,0)),1))))</f>
        <v>3</v>
      </c>
      <c r="CM9">
        <f>IF(INDEX(Responses!$A$4:$ZZ$4,1,MATCH(CM$6,Responses!$1:$1,0))&amp;""="","",IF(LEFT(INDEX(Responses!$A$4:$ZZ$4,1,MATCH(CM$6,Responses!$1:$1,0)),1)="N","NA",VALUE(LEFT(INDEX(Responses!$A$4:$ZZ$4,1,MATCH(CM$6,Responses!$1:$1,0)),1))))</f>
        <v>3</v>
      </c>
      <c r="CN9">
        <f>IF(INDEX(Responses!$A$4:$ZZ$4,1,MATCH(CN$6,Responses!$1:$1,0))&amp;""="","",IF(LEFT(INDEX(Responses!$A$4:$ZZ$4,1,MATCH(CN$6,Responses!$1:$1,0)),1)="N","NA",VALUE(LEFT(INDEX(Responses!$A$4:$ZZ$4,1,MATCH(CN$6,Responses!$1:$1,0)),1))))</f>
        <v>2</v>
      </c>
      <c r="CO9">
        <f>IF(INDEX(Responses!$A$4:$ZZ$4,1,MATCH(CO$6,Responses!$1:$1,0))&amp;""="","",IF(LEFT(INDEX(Responses!$A$4:$ZZ$4,1,MATCH(CO$6,Responses!$1:$1,0)),1)="N","NA",VALUE(LEFT(INDEX(Responses!$A$4:$ZZ$4,1,MATCH(CO$6,Responses!$1:$1,0)),1))))</f>
        <v>4</v>
      </c>
      <c r="CP9">
        <f>IF(INDEX(Responses!$A$4:$ZZ$4,1,MATCH(CP$6,Responses!$1:$1,0))&amp;""="","",IF(LEFT(INDEX(Responses!$A$4:$ZZ$4,1,MATCH(CP$6,Responses!$1:$1,0)),1)="N","NA",VALUE(LEFT(INDEX(Responses!$A$4:$ZZ$4,1,MATCH(CP$6,Responses!$1:$1,0)),1))))</f>
        <v>4</v>
      </c>
      <c r="CQ9">
        <f>IF(INDEX(Responses!$A$4:$ZZ$4,1,MATCH(CQ$6,Responses!$1:$1,0))&amp;""="","",IF(LEFT(INDEX(Responses!$A$4:$ZZ$4,1,MATCH(CQ$6,Responses!$1:$1,0)),1)="N","NA",VALUE(LEFT(INDEX(Responses!$A$4:$ZZ$4,1,MATCH(CQ$6,Responses!$1:$1,0)),1))))</f>
        <v>4</v>
      </c>
      <c r="CR9">
        <f>IF(INDEX(Responses!$A$4:$ZZ$4,1,MATCH(CR$6,Responses!$1:$1,0))&amp;""="","",IF(LEFT(INDEX(Responses!$A$4:$ZZ$4,1,MATCH(CR$6,Responses!$1:$1,0)),1)="N","NA",VALUE(LEFT(INDEX(Responses!$A$4:$ZZ$4,1,MATCH(CR$6,Responses!$1:$1,0)),1))))</f>
        <v>4</v>
      </c>
      <c r="CS9">
        <f>IF(INDEX(Responses!$A$4:$ZZ$4,1,MATCH(CS$6,Responses!$1:$1,0))&amp;""="","",IF(LEFT(INDEX(Responses!$A$4:$ZZ$4,1,MATCH(CS$6,Responses!$1:$1,0)),1)="N","NA",VALUE(LEFT(INDEX(Responses!$A$4:$ZZ$4,1,MATCH(CS$6,Responses!$1:$1,0)),1))))</f>
        <v>4</v>
      </c>
      <c r="CT9">
        <f>IF(INDEX(Responses!$A$4:$ZZ$4,1,MATCH(CT$6,Responses!$1:$1,0))&amp;""="","",IF(LEFT(INDEX(Responses!$A$4:$ZZ$4,1,MATCH(CT$6,Responses!$1:$1,0)),1)="N","NA",VALUE(LEFT(INDEX(Responses!$A$4:$ZZ$4,1,MATCH(CT$6,Responses!$1:$1,0)),1))))</f>
        <v>4</v>
      </c>
      <c r="CU9">
        <f>IF(INDEX(Responses!$A$4:$ZZ$4,1,MATCH(CU$6,Responses!$1:$1,0))&amp;""="","",IF(LEFT(INDEX(Responses!$A$4:$ZZ$4,1,MATCH(CU$6,Responses!$1:$1,0)),1)="N","NA",VALUE(LEFT(INDEX(Responses!$A$4:$ZZ$4,1,MATCH(CU$6,Responses!$1:$1,0)),1))))</f>
        <v>4</v>
      </c>
      <c r="CV9">
        <f>IF(INDEX(Responses!$A$4:$ZZ$4,1,MATCH(CV$6,Responses!$1:$1,0))&amp;""="","",IF(LEFT(INDEX(Responses!$A$4:$ZZ$4,1,MATCH(CV$6,Responses!$1:$1,0)),1)="N","NA",VALUE(LEFT(INDEX(Responses!$A$4:$ZZ$4,1,MATCH(CV$6,Responses!$1:$1,0)),1))))</f>
        <v>5</v>
      </c>
      <c r="CW9">
        <f>IF(INDEX(Responses!$A$4:$ZZ$4,1,MATCH(CW$6,Responses!$1:$1,0))&amp;""="","",IF(LEFT(INDEX(Responses!$A$4:$ZZ$4,1,MATCH(CW$6,Responses!$1:$1,0)),1)="N","NA",VALUE(LEFT(INDEX(Responses!$A$4:$ZZ$4,1,MATCH(CW$6,Responses!$1:$1,0)),1))))</f>
        <v>2</v>
      </c>
      <c r="CX9">
        <f>IF(INDEX(Responses!$A$4:$ZZ$4,1,MATCH(CX$6,Responses!$1:$1,0))&amp;""="","",IF(LEFT(INDEX(Responses!$A$4:$ZZ$4,1,MATCH(CX$6,Responses!$1:$1,0)),1)="N","NA",VALUE(LEFT(INDEX(Responses!$A$4:$ZZ$4,1,MATCH(CX$6,Responses!$1:$1,0)),1))))</f>
        <v>2</v>
      </c>
      <c r="CY9">
        <f>IF(INDEX(Responses!$A$4:$ZZ$4,1,MATCH(CY$6,Responses!$1:$1,0))&amp;""="","",IF(LEFT(INDEX(Responses!$A$4:$ZZ$4,1,MATCH(CY$6,Responses!$1:$1,0)),1)="N","NA",VALUE(LEFT(INDEX(Responses!$A$4:$ZZ$4,1,MATCH(CY$6,Responses!$1:$1,0)),1))))</f>
        <v>2</v>
      </c>
      <c r="CZ9" t="str">
        <f>IF(INDEX(Responses!$A$4:$ZZ$4,1,MATCH(CZ$6,Responses!$1:$1,0))&amp;""="","",IF(LEFT(INDEX(Responses!$A$4:$ZZ$4,1,MATCH(CZ$6,Responses!$1:$1,0)),1)="N","NA",VALUE(LEFT(INDEX(Responses!$A$4:$ZZ$4,1,MATCH(CZ$6,Responses!$1:$1,0)),1))))</f>
        <v>NA</v>
      </c>
      <c r="DA9">
        <f>IF(INDEX(Responses!$A$4:$ZZ$4,1,MATCH(DA$6,Responses!$1:$1,0))&amp;""="","",IF(LEFT(INDEX(Responses!$A$4:$ZZ$4,1,MATCH(DA$6,Responses!$1:$1,0)),1)="N","NA",VALUE(LEFT(INDEX(Responses!$A$4:$ZZ$4,1,MATCH(DA$6,Responses!$1:$1,0)),1))))</f>
        <v>3</v>
      </c>
      <c r="DB9">
        <f>IF(INDEX(Responses!$A$4:$ZZ$4,1,MATCH(DB$6,Responses!$1:$1,0))&amp;""="","",IF(LEFT(INDEX(Responses!$A$4:$ZZ$4,1,MATCH(DB$6,Responses!$1:$1,0)),1)="N","NA",VALUE(LEFT(INDEX(Responses!$A$4:$ZZ$4,1,MATCH(DB$6,Responses!$1:$1,0)),1))))</f>
        <v>4</v>
      </c>
      <c r="DC9">
        <f>IF(INDEX(Responses!$A$4:$ZZ$4,1,MATCH(DC$6,Responses!$1:$1,0))&amp;""="","",IF(LEFT(INDEX(Responses!$A$4:$ZZ$4,1,MATCH(DC$6,Responses!$1:$1,0)),1)="N","NA",VALUE(LEFT(INDEX(Responses!$A$4:$ZZ$4,1,MATCH(DC$6,Responses!$1:$1,0)),1))))</f>
        <v>3</v>
      </c>
      <c r="DD9">
        <f>IF(INDEX(Responses!$A$4:$ZZ$4,1,MATCH(DD$6,Responses!$1:$1,0))&amp;""="","",IF(LEFT(INDEX(Responses!$A$4:$ZZ$4,1,MATCH(DD$6,Responses!$1:$1,0)),1)="N","NA",VALUE(LEFT(INDEX(Responses!$A$4:$ZZ$4,1,MATCH(DD$6,Responses!$1:$1,0)),1))))</f>
        <v>5</v>
      </c>
      <c r="DE9">
        <f>IF(INDEX(Responses!$A$4:$ZZ$4,1,MATCH(DE$6,Responses!$1:$1,0))&amp;""="","",IF(LEFT(INDEX(Responses!$A$4:$ZZ$4,1,MATCH(DE$6,Responses!$1:$1,0)),1)="N","NA",VALUE(LEFT(INDEX(Responses!$A$4:$ZZ$4,1,MATCH(DE$6,Responses!$1:$1,0)),1))))</f>
        <v>4</v>
      </c>
      <c r="DF9">
        <f>IF(INDEX(Responses!$A$4:$ZZ$4,1,MATCH(DF$6,Responses!$1:$1,0))&amp;""="","",IF(LEFT(INDEX(Responses!$A$4:$ZZ$4,1,MATCH(DF$6,Responses!$1:$1,0)),1)="N","NA",VALUE(LEFT(INDEX(Responses!$A$4:$ZZ$4,1,MATCH(DF$6,Responses!$1:$1,0)),1))))</f>
        <v>4</v>
      </c>
      <c r="DG9">
        <f>IF(INDEX(Responses!$A$4:$ZZ$4,1,MATCH(DG$6,Responses!$1:$1,0))&amp;""="","",IF(LEFT(INDEX(Responses!$A$4:$ZZ$4,1,MATCH(DG$6,Responses!$1:$1,0)),1)="N","NA",VALUE(LEFT(INDEX(Responses!$A$4:$ZZ$4,1,MATCH(DG$6,Responses!$1:$1,0)),1))))</f>
        <v>4</v>
      </c>
      <c r="DH9">
        <f>IF(INDEX(Responses!$A$4:$ZZ$4,1,MATCH(DH$6,Responses!$1:$1,0))&amp;""="","",IF(LEFT(INDEX(Responses!$A$4:$ZZ$4,1,MATCH(DH$6,Responses!$1:$1,0)),1)="N","NA",VALUE(LEFT(INDEX(Responses!$A$4:$ZZ$4,1,MATCH(DH$6,Responses!$1:$1,0)),1))))</f>
        <v>6</v>
      </c>
      <c r="DI9">
        <f>IF(INDEX(Responses!$A$4:$ZZ$4,1,MATCH(DI$6,Responses!$1:$1,0))&amp;""="","",IF(LEFT(INDEX(Responses!$A$4:$ZZ$4,1,MATCH(DI$6,Responses!$1:$1,0)),1)="N","NA",VALUE(LEFT(INDEX(Responses!$A$4:$ZZ$4,1,MATCH(DI$6,Responses!$1:$1,0)),1))))</f>
        <v>5</v>
      </c>
      <c r="DJ9">
        <f>IF(INDEX(Responses!$A$4:$ZZ$4,1,MATCH(DJ$6,Responses!$1:$1,0))&amp;""="","",IF(LEFT(INDEX(Responses!$A$4:$ZZ$4,1,MATCH(DJ$6,Responses!$1:$1,0)),1)="N","NA",VALUE(LEFT(INDEX(Responses!$A$4:$ZZ$4,1,MATCH(DJ$6,Responses!$1:$1,0)),1))))</f>
        <v>5</v>
      </c>
      <c r="DK9">
        <f>IF(INDEX(Responses!$A$4:$ZZ$4,1,MATCH(DK$6,Responses!$1:$1,0))&amp;""="","",IF(LEFT(INDEX(Responses!$A$4:$ZZ$4,1,MATCH(DK$6,Responses!$1:$1,0)),1)="N","NA",VALUE(LEFT(INDEX(Responses!$A$4:$ZZ$4,1,MATCH(DK$6,Responses!$1:$1,0)),1))))</f>
        <v>6</v>
      </c>
      <c r="DL9">
        <f>IF(INDEX(Responses!$A$4:$ZZ$4,1,MATCH(DL$6,Responses!$1:$1,0))&amp;""="","",IF(LEFT(INDEX(Responses!$A$4:$ZZ$4,1,MATCH(DL$6,Responses!$1:$1,0)),1)="N","NA",VALUE(LEFT(INDEX(Responses!$A$4:$ZZ$4,1,MATCH(DL$6,Responses!$1:$1,0)),1))))</f>
        <v>5</v>
      </c>
      <c r="DM9">
        <f>IF(INDEX(Responses!$A$4:$ZZ$4,1,MATCH(DM$6,Responses!$1:$1,0))&amp;""="","",IF(LEFT(INDEX(Responses!$A$4:$ZZ$4,1,MATCH(DM$6,Responses!$1:$1,0)),1)="N","NA",VALUE(LEFT(INDEX(Responses!$A$4:$ZZ$4,1,MATCH(DM$6,Responses!$1:$1,0)),1))))</f>
        <v>5</v>
      </c>
      <c r="DN9">
        <f>IF(INDEX(Responses!$A$4:$ZZ$4,1,MATCH(DN$6,Responses!$1:$1,0))&amp;""="","",IF(LEFT(INDEX(Responses!$A$4:$ZZ$4,1,MATCH(DN$6,Responses!$1:$1,0)),1)="N","NA",VALUE(LEFT(INDEX(Responses!$A$4:$ZZ$4,1,MATCH(DN$6,Responses!$1:$1,0)),1))))</f>
        <v>5</v>
      </c>
      <c r="DO9">
        <f>IF(INDEX(Responses!$A$4:$ZZ$4,1,MATCH(DO$6,Responses!$1:$1,0))&amp;""="","",IF(LEFT(INDEX(Responses!$A$4:$ZZ$4,1,MATCH(DO$6,Responses!$1:$1,0)),1)="N","NA",VALUE(LEFT(INDEX(Responses!$A$4:$ZZ$4,1,MATCH(DO$6,Responses!$1:$1,0)),1))))</f>
        <v>6</v>
      </c>
      <c r="DP9">
        <f>IF(INDEX(Responses!$A$4:$ZZ$4,1,MATCH(DP$6,Responses!$1:$1,0))&amp;""="","",IF(LEFT(INDEX(Responses!$A$4:$ZZ$4,1,MATCH(DP$6,Responses!$1:$1,0)),1)="N","NA",VALUE(LEFT(INDEX(Responses!$A$4:$ZZ$4,1,MATCH(DP$6,Responses!$1:$1,0)),1))))</f>
        <v>4</v>
      </c>
      <c r="DQ9">
        <f>IF(INDEX(Responses!$A$4:$ZZ$4,1,MATCH(DQ$6,Responses!$1:$1,0))&amp;""="","",IF(LEFT(INDEX(Responses!$A$4:$ZZ$4,1,MATCH(DQ$6,Responses!$1:$1,0)),1)="N","NA",VALUE(LEFT(INDEX(Responses!$A$4:$ZZ$4,1,MATCH(DQ$6,Responses!$1:$1,0)),1))))</f>
        <v>3</v>
      </c>
      <c r="DR9">
        <f>IF(INDEX(Responses!$A$4:$ZZ$4,1,MATCH(DR$6,Responses!$1:$1,0))&amp;""="","",IF(LEFT(INDEX(Responses!$A$4:$ZZ$4,1,MATCH(DR$6,Responses!$1:$1,0)),1)="N","NA",VALUE(LEFT(INDEX(Responses!$A$4:$ZZ$4,1,MATCH(DR$6,Responses!$1:$1,0)),1))))</f>
        <v>3</v>
      </c>
      <c r="DS9" t="str">
        <f>IF(INDEX(Responses!$A$4:$ZZ$4,1,MATCH(DS$6,Responses!$1:$1,0))&amp;""="","",IF(LEFT(INDEX(Responses!$A$4:$ZZ$4,1,MATCH(DS$6,Responses!$1:$1,0)),1)="N","NA",VALUE(LEFT(INDEX(Responses!$A$4:$ZZ$4,1,MATCH(DS$6,Responses!$1:$1,0)),1))))</f>
        <v>NA</v>
      </c>
      <c r="DT9">
        <f>IF(INDEX(Responses!$A$4:$ZZ$4,1,MATCH(DT$6,Responses!$1:$1,0))&amp;""="","",IF(LEFT(INDEX(Responses!$A$4:$ZZ$4,1,MATCH(DT$6,Responses!$1:$1,0)),1)="N","NA",VALUE(LEFT(INDEX(Responses!$A$4:$ZZ$4,1,MATCH(DT$6,Responses!$1:$1,0)),1))))</f>
        <v>4</v>
      </c>
      <c r="DU9">
        <f>IF(INDEX(Responses!$A$4:$ZZ$4,1,MATCH(DU$6,Responses!$1:$1,0))&amp;""="","",IF(LEFT(INDEX(Responses!$A$4:$ZZ$4,1,MATCH(DU$6,Responses!$1:$1,0)),1)="N","NA",VALUE(LEFT(INDEX(Responses!$A$4:$ZZ$4,1,MATCH(DU$6,Responses!$1:$1,0)),1))))</f>
        <v>5</v>
      </c>
      <c r="DV9">
        <f>IF(INDEX(Responses!$A$4:$ZZ$4,1,MATCH(DV$6,Responses!$1:$1,0))&amp;""="","",IF(LEFT(INDEX(Responses!$A$4:$ZZ$4,1,MATCH(DV$6,Responses!$1:$1,0)),1)="N","NA",VALUE(LEFT(INDEX(Responses!$A$4:$ZZ$4,1,MATCH(DV$6,Responses!$1:$1,0)),1))))</f>
        <v>4</v>
      </c>
      <c r="DW9">
        <f>IF(INDEX(Responses!$A$4:$ZZ$4,1,MATCH(DW$6,Responses!$1:$1,0))&amp;""="","",IF(LEFT(INDEX(Responses!$A$4:$ZZ$4,1,MATCH(DW$6,Responses!$1:$1,0)),1)="N","NA",VALUE(LEFT(INDEX(Responses!$A$4:$ZZ$4,1,MATCH(DW$6,Responses!$1:$1,0)),1))))</f>
        <v>6</v>
      </c>
      <c r="DX9">
        <f>IF(INDEX(Responses!$A$4:$ZZ$4,1,MATCH(DX$6,Responses!$1:$1,0))&amp;""="","",IF(LEFT(INDEX(Responses!$A$4:$ZZ$4,1,MATCH(DX$6,Responses!$1:$1,0)),1)="N","NA",VALUE(LEFT(INDEX(Responses!$A$4:$ZZ$4,1,MATCH(DX$6,Responses!$1:$1,0)),1))))</f>
        <v>5</v>
      </c>
      <c r="DY9">
        <f>IF(INDEX(Responses!$A$4:$ZZ$4,1,MATCH(DY$6,Responses!$1:$1,0))&amp;""="","",IF(LEFT(INDEX(Responses!$A$4:$ZZ$4,1,MATCH(DY$6,Responses!$1:$1,0)),1)="N","NA",VALUE(LEFT(INDEX(Responses!$A$4:$ZZ$4,1,MATCH(DY$6,Responses!$1:$1,0)),1))))</f>
        <v>5</v>
      </c>
      <c r="DZ9">
        <f>IF(INDEX(Responses!$A$4:$ZZ$4,1,MATCH(DZ$6,Responses!$1:$1,0))&amp;""="","",IF(LEFT(INDEX(Responses!$A$4:$ZZ$4,1,MATCH(DZ$6,Responses!$1:$1,0)),1)="N","NA",VALUE(LEFT(INDEX(Responses!$A$4:$ZZ$4,1,MATCH(DZ$6,Responses!$1:$1,0)),1))))</f>
        <v>5</v>
      </c>
      <c r="EA9">
        <f>IF(INDEX(Responses!$A$4:$ZZ$4,1,MATCH(EA$6,Responses!$1:$1,0))&amp;""="","",IF(LEFT(INDEX(Responses!$A$4:$ZZ$4,1,MATCH(EA$6,Responses!$1:$1,0)),1)="N","NA",VALUE(LEFT(INDEX(Responses!$A$4:$ZZ$4,1,MATCH(EA$6,Responses!$1:$1,0)),1))))</f>
        <v>4</v>
      </c>
      <c r="EB9">
        <f>IF(INDEX(Responses!$A$4:$ZZ$4,1,MATCH(EB$6,Responses!$1:$1,0))&amp;""="","",IF(LEFT(INDEX(Responses!$A$4:$ZZ$4,1,MATCH(EB$6,Responses!$1:$1,0)),1)="N","NA",VALUE(LEFT(INDEX(Responses!$A$4:$ZZ$4,1,MATCH(EB$6,Responses!$1:$1,0)),1))))</f>
        <v>4</v>
      </c>
      <c r="EC9">
        <f>IF(INDEX(Responses!$A$4:$ZZ$4,1,MATCH(EC$6,Responses!$1:$1,0))&amp;""="","",IF(LEFT(INDEX(Responses!$A$4:$ZZ$4,1,MATCH(EC$6,Responses!$1:$1,0)),1)="N","NA",VALUE(LEFT(INDEX(Responses!$A$4:$ZZ$4,1,MATCH(EC$6,Responses!$1:$1,0)),1))))</f>
        <v>4</v>
      </c>
      <c r="ED9">
        <f>IF(INDEX(Responses!$A$4:$ZZ$4,1,MATCH(ED$6,Responses!$1:$1,0))&amp;""="","",IF(LEFT(INDEX(Responses!$A$4:$ZZ$4,1,MATCH(ED$6,Responses!$1:$1,0)),1)="N","NA",VALUE(LEFT(INDEX(Responses!$A$4:$ZZ$4,1,MATCH(ED$6,Responses!$1:$1,0)),1))))</f>
        <v>4</v>
      </c>
      <c r="EE9">
        <f>IF(INDEX(Responses!$A$4:$ZZ$4,1,MATCH(EE$6,Responses!$1:$1,0))&amp;""="","",IF(LEFT(INDEX(Responses!$A$4:$ZZ$4,1,MATCH(EE$6,Responses!$1:$1,0)),1)="N","NA",VALUE(LEFT(INDEX(Responses!$A$4:$ZZ$4,1,MATCH(EE$6,Responses!$1:$1,0)),1))))</f>
        <v>4</v>
      </c>
      <c r="EF9">
        <f>IF(INDEX(Responses!$A$4:$ZZ$4,1,MATCH(EF$6,Responses!$1:$1,0))&amp;""="","",IF(LEFT(INDEX(Responses!$A$4:$ZZ$4,1,MATCH(EF$6,Responses!$1:$1,0)),1)="N","NA",VALUE(LEFT(INDEX(Responses!$A$4:$ZZ$4,1,MATCH(EF$6,Responses!$1:$1,0)),1))))</f>
        <v>4</v>
      </c>
      <c r="EG9">
        <f>IF(INDEX(Responses!$A$4:$ZZ$4,1,MATCH(EG$6,Responses!$1:$1,0))&amp;""="","",IF(LEFT(INDEX(Responses!$A$4:$ZZ$4,1,MATCH(EG$6,Responses!$1:$1,0)),1)="N","NA",VALUE(LEFT(INDEX(Responses!$A$4:$ZZ$4,1,MATCH(EG$6,Responses!$1:$1,0)),1))))</f>
        <v>4</v>
      </c>
      <c r="EH9">
        <f>IF(INDEX(Responses!$A$4:$ZZ$4,1,MATCH(EH$6,Responses!$1:$1,0))&amp;""="","",IF(LEFT(INDEX(Responses!$A$4:$ZZ$4,1,MATCH(EH$6,Responses!$1:$1,0)),1)="N","NA",VALUE(LEFT(INDEX(Responses!$A$4:$ZZ$4,1,MATCH(EH$6,Responses!$1:$1,0)),1))))</f>
        <v>6</v>
      </c>
      <c r="EI9">
        <f>IF(INDEX(Responses!$A$4:$ZZ$4,1,MATCH(EI$6,Responses!$1:$1,0))&amp;""="","",IF(LEFT(INDEX(Responses!$A$4:$ZZ$4,1,MATCH(EI$6,Responses!$1:$1,0)),1)="N","NA",VALUE(LEFT(INDEX(Responses!$A$4:$ZZ$4,1,MATCH(EI$6,Responses!$1:$1,0)),1))))</f>
        <v>2</v>
      </c>
      <c r="EJ9">
        <f>IF(INDEX(Responses!$A$4:$ZZ$4,1,MATCH(EJ$6,Responses!$1:$1,0))&amp;""="","",IF(LEFT(INDEX(Responses!$A$4:$ZZ$4,1,MATCH(EJ$6,Responses!$1:$1,0)),1)="N","NA",VALUE(LEFT(INDEX(Responses!$A$4:$ZZ$4,1,MATCH(EJ$6,Responses!$1:$1,0)),1))))</f>
        <v>2</v>
      </c>
      <c r="EK9">
        <f>IF(INDEX(Responses!$A$4:$ZZ$4,1,MATCH(EK$6,Responses!$1:$1,0))&amp;""="","",IF(LEFT(INDEX(Responses!$A$4:$ZZ$4,1,MATCH(EK$6,Responses!$1:$1,0)),1)="N","NA",VALUE(LEFT(INDEX(Responses!$A$4:$ZZ$4,1,MATCH(EK$6,Responses!$1:$1,0)),1))))</f>
        <v>3</v>
      </c>
      <c r="EL9" t="str">
        <f>IF(INDEX(Responses!$A$4:$ZZ$4,1,MATCH(EL$6,Responses!$1:$1,0))&amp;""="","",IF(LEFT(INDEX(Responses!$A$4:$ZZ$4,1,MATCH(EL$6,Responses!$1:$1,0)),1)="N","NA",VALUE(LEFT(INDEX(Responses!$A$4:$ZZ$4,1,MATCH(EL$6,Responses!$1:$1,0)),1))))</f>
        <v>NA</v>
      </c>
      <c r="EM9">
        <f>IF(INDEX(Responses!$A$4:$ZZ$4,1,MATCH(EM$6,Responses!$1:$1,0))&amp;""="","",IF(LEFT(INDEX(Responses!$A$4:$ZZ$4,1,MATCH(EM$6,Responses!$1:$1,0)),1)="N","NA",VALUE(LEFT(INDEX(Responses!$A$4:$ZZ$4,1,MATCH(EM$6,Responses!$1:$1,0)),1))))</f>
        <v>3</v>
      </c>
      <c r="EN9">
        <f>IF(INDEX(Responses!$A$4:$ZZ$4,1,MATCH(EN$6,Responses!$1:$1,0))&amp;""="","",IF(LEFT(INDEX(Responses!$A$4:$ZZ$4,1,MATCH(EN$6,Responses!$1:$1,0)),1)="N","NA",VALUE(LEFT(INDEX(Responses!$A$4:$ZZ$4,1,MATCH(EN$6,Responses!$1:$1,0)),1))))</f>
        <v>5</v>
      </c>
      <c r="EO9">
        <f>IF(INDEX(Responses!$A$4:$ZZ$4,1,MATCH(EO$6,Responses!$1:$1,0))&amp;""="","",IF(LEFT(INDEX(Responses!$A$4:$ZZ$4,1,MATCH(EO$6,Responses!$1:$1,0)),1)="N","NA",VALUE(LEFT(INDEX(Responses!$A$4:$ZZ$4,1,MATCH(EO$6,Responses!$1:$1,0)),1))))</f>
        <v>4</v>
      </c>
      <c r="EP9">
        <f>IF(INDEX(Responses!$A$4:$ZZ$4,1,MATCH(EP$6,Responses!$1:$1,0))&amp;""="","",IF(LEFT(INDEX(Responses!$A$4:$ZZ$4,1,MATCH(EP$6,Responses!$1:$1,0)),1)="N","NA",VALUE(LEFT(INDEX(Responses!$A$4:$ZZ$4,1,MATCH(EP$6,Responses!$1:$1,0)),1))))</f>
        <v>5</v>
      </c>
      <c r="EQ9">
        <f>IF(INDEX(Responses!$A$4:$ZZ$4,1,MATCH(EQ$6,Responses!$1:$1,0))&amp;""="","",IF(LEFT(INDEX(Responses!$A$4:$ZZ$4,1,MATCH(EQ$6,Responses!$1:$1,0)),1)="N","NA",VALUE(LEFT(INDEX(Responses!$A$4:$ZZ$4,1,MATCH(EQ$6,Responses!$1:$1,0)),1))))</f>
        <v>4</v>
      </c>
      <c r="ER9">
        <f>IF(INDEX(Responses!$A$4:$ZZ$4,1,MATCH(ER$6,Responses!$1:$1,0))&amp;""="","",IF(LEFT(INDEX(Responses!$A$4:$ZZ$4,1,MATCH(ER$6,Responses!$1:$1,0)),1)="N","NA",VALUE(LEFT(INDEX(Responses!$A$4:$ZZ$4,1,MATCH(ER$6,Responses!$1:$1,0)),1))))</f>
        <v>4</v>
      </c>
      <c r="ES9">
        <f>IF(INDEX(Responses!$A$4:$ZZ$4,1,MATCH(ES$6,Responses!$1:$1,0))&amp;""="","",IF(LEFT(INDEX(Responses!$A$4:$ZZ$4,1,MATCH(ES$6,Responses!$1:$1,0)),1)="N","NA",VALUE(LEFT(INDEX(Responses!$A$4:$ZZ$4,1,MATCH(ES$6,Responses!$1:$1,0)),1))))</f>
        <v>4</v>
      </c>
      <c r="ET9">
        <f>--ISNUMBER(SEARCH(INDEX(Items!$G:$G,MATCH(ET$1,Items!$A:$A,0)),INDEX(Responses!$A$4:$ZZ$4,1,MATCH(ET$6,Responses!$1:$1,0))))</f>
        <v>0</v>
      </c>
      <c r="EU9">
        <f>--ISNUMBER(SEARCH(INDEX(Items!$G:$G,MATCH(EU$1,Items!$A:$A,0)),INDEX(Responses!$A$4:$ZZ$4,1,MATCH(EU$6,Responses!$1:$1,0))))</f>
        <v>0</v>
      </c>
      <c r="EV9">
        <f>--ISNUMBER(SEARCH(INDEX(Items!$G:$G,MATCH(EV$1,Items!$A:$A,0)),INDEX(Responses!$A$4:$ZZ$4,1,MATCH(EV$6,Responses!$1:$1,0))))</f>
        <v>1</v>
      </c>
      <c r="EW9">
        <f>--ISNUMBER(SEARCH(INDEX(Items!$G:$G,MATCH(EW$1,Items!$A:$A,0)),INDEX(Responses!$A$4:$ZZ$4,1,MATCH(EW$6,Responses!$1:$1,0))))</f>
        <v>0</v>
      </c>
      <c r="EX9">
        <f>--ISNUMBER(SEARCH(INDEX(Items!$G:$G,MATCH(EX$1,Items!$A:$A,0)),INDEX(Responses!$A$4:$ZZ$4,1,MATCH(EX$6,Responses!$1:$1,0))))</f>
        <v>0</v>
      </c>
      <c r="EY9">
        <f>--ISNUMBER(SEARCH(INDEX(Items!$G:$G,MATCH(EY$1,Items!$A:$A,0)),INDEX(Responses!$A$4:$ZZ$4,1,MATCH(EY$6,Responses!$1:$1,0))))</f>
        <v>1</v>
      </c>
      <c r="EZ9">
        <f>--ISNUMBER(SEARCH(INDEX(Items!$G:$G,MATCH(EZ$1,Items!$A:$A,0)),INDEX(Responses!$A$4:$ZZ$4,1,MATCH(EZ$6,Responses!$1:$1,0))))</f>
        <v>0</v>
      </c>
      <c r="FA9">
        <f>--ISNUMBER(SEARCH(INDEX(Items!$G:$G,MATCH(FA$1,Items!$A:$A,0)),INDEX(Responses!$A$4:$ZZ$4,1,MATCH(FA$6,Responses!$1:$1,0))))</f>
        <v>0</v>
      </c>
      <c r="FB9">
        <f>--ISNUMBER(SEARCH(INDEX(Items!$G:$G,MATCH(FB$1,Items!$A:$A,0)),INDEX(Responses!$A$4:$ZZ$4,1,MATCH(FB$6,Responses!$1:$1,0))))</f>
        <v>0</v>
      </c>
      <c r="FC9">
        <f>--ISNUMBER(SEARCH(INDEX(Items!$G:$G,MATCH(FC$1,Items!$A:$A,0)),INDEX(Responses!$A$4:$ZZ$4,1,MATCH(FC$6,Responses!$1:$1,0))))</f>
        <v>1</v>
      </c>
      <c r="FD9">
        <f>--ISNUMBER(SEARCH(INDEX(Items!$G:$G,MATCH(FD$1,Items!$A:$A,0)),INDEX(Responses!$A$4:$ZZ$4,1,MATCH(FD$6,Responses!$1:$1,0))))</f>
        <v>1</v>
      </c>
      <c r="FE9">
        <f>--ISNUMBER(SEARCH(INDEX(Items!$G:$G,MATCH(FE$1,Items!$A:$A,0)),INDEX(Responses!$A$4:$ZZ$4,1,MATCH(FE$6,Responses!$1:$1,0))))</f>
        <v>0</v>
      </c>
      <c r="FF9">
        <f>--ISNUMBER(SEARCH(INDEX(Items!$G:$G,MATCH(FF$1,Items!$A:$A,0)),INDEX(Responses!$A$4:$ZZ$4,1,MATCH(FF$6,Responses!$1:$1,0))))</f>
        <v>1</v>
      </c>
      <c r="FG9">
        <f>--ISNUMBER(SEARCH(INDEX(Items!$G:$G,MATCH(FG$1,Items!$A:$A,0)),INDEX(Responses!$A$4:$ZZ$4,1,MATCH(FG$6,Responses!$1:$1,0))))</f>
        <v>1</v>
      </c>
      <c r="FH9">
        <f>--ISNUMBER(SEARCH(INDEX(Items!$G:$G,MATCH(FH$1,Items!$A:$A,0)),INDEX(Responses!$A$4:$ZZ$4,1,MATCH(FH$6,Responses!$1:$1,0))))</f>
        <v>0</v>
      </c>
      <c r="FI9">
        <f>--ISNUMBER(SEARCH(INDEX(Items!$G:$G,MATCH(FI$1,Items!$A:$A,0)),INDEX(Responses!$A$4:$ZZ$4,1,MATCH(FI$6,Responses!$1:$1,0))))</f>
        <v>0</v>
      </c>
      <c r="FJ9">
        <f>--ISNUMBER(SEARCH(INDEX(Items!$G:$G,MATCH(FJ$1,Items!$A:$A,0)),INDEX(Responses!$A$4:$ZZ$4,1,MATCH(FJ$6,Responses!$1:$1,0))))</f>
        <v>1</v>
      </c>
      <c r="FK9">
        <f>--ISNUMBER(SEARCH(INDEX(Items!$G:$G,MATCH(FK$1,Items!$A:$A,0)),INDEX(Responses!$A$4:$ZZ$4,1,MATCH(FK$6,Responses!$1:$1,0))))</f>
        <v>0</v>
      </c>
      <c r="FL9">
        <f>--ISNUMBER(SEARCH(INDEX(Items!$G:$G,MATCH(FL$1,Items!$A:$A,0)),INDEX(Responses!$A$4:$ZZ$4,1,MATCH(FL$6,Responses!$1:$1,0))))</f>
        <v>0</v>
      </c>
      <c r="FM9">
        <f>--ISNUMBER(SEARCH(INDEX(Items!$G:$G,MATCH(FM$1,Items!$A:$A,0)),INDEX(Responses!$A$4:$ZZ$4,1,MATCH(FM$6,Responses!$1:$1,0))))</f>
        <v>1</v>
      </c>
      <c r="FN9">
        <f>--ISNUMBER(SEARCH(INDEX(Items!$G:$G,MATCH(FN$1,Items!$A:$A,0)),INDEX(Responses!$A$4:$ZZ$4,1,MATCH(FN$6,Responses!$1:$1,0))))</f>
        <v>0</v>
      </c>
      <c r="FO9">
        <f>--ISNUMBER(SEARCH(INDEX(Items!$G:$G,MATCH(FO$1,Items!$A:$A,0)),INDEX(Responses!$A$4:$ZZ$4,1,MATCH(FO$6,Responses!$1:$1,0))))</f>
        <v>0</v>
      </c>
      <c r="FP9">
        <f>--ISNUMBER(SEARCH(INDEX(Items!$G:$G,MATCH(FP$1,Items!$A:$A,0)),INDEX(Responses!$A$4:$ZZ$4,1,MATCH(FP$6,Responses!$1:$1,0))))</f>
        <v>0</v>
      </c>
      <c r="FQ9">
        <f>--ISNUMBER(SEARCH(INDEX(Items!$G:$G,MATCH(FQ$1,Items!$A:$A,0)),INDEX(Responses!$A$4:$ZZ$4,1,MATCH(FQ$6,Responses!$1:$1,0))))</f>
        <v>0</v>
      </c>
      <c r="FR9">
        <f>--ISNUMBER(SEARCH(INDEX(Items!$G:$G,MATCH(FR$1,Items!$A:$A,0)),INDEX(Responses!$A$4:$ZZ$4,1,MATCH(FR$6,Responses!$1:$1,0))))</f>
        <v>0</v>
      </c>
      <c r="FS9">
        <f>--ISNUMBER(SEARCH(INDEX(Items!$G:$G,MATCH(FS$1,Items!$A:$A,0)),INDEX(Responses!$A$4:$ZZ$4,1,MATCH(FS$6,Responses!$1:$1,0))))</f>
        <v>1</v>
      </c>
      <c r="FT9">
        <f>--ISNUMBER(SEARCH(INDEX(Items!$G:$G,MATCH(FT$1,Items!$A:$A,0)),INDEX(Responses!$A$4:$ZZ$4,1,MATCH(FT$6,Responses!$1:$1,0))))</f>
        <v>0</v>
      </c>
      <c r="FU9">
        <f>--ISNUMBER(SEARCH(INDEX(Items!$G:$G,MATCH(FU$1,Items!$A:$A,0)),INDEX(Responses!$A$4:$ZZ$4,1,MATCH(FU$6,Responses!$1:$1,0))))</f>
        <v>0</v>
      </c>
    </row>
    <row r="10" spans="1:177" x14ac:dyDescent="0.45">
      <c r="A10" t="str">
        <f>Responses!$D$5</f>
        <v>Daniel Cho</v>
      </c>
      <c r="B10">
        <f>IF(INDEX(Responses!$A$5:$ZZ$5,1,MATCH(B$6,Responses!$1:$1,0))&amp;""="","",IF(LEFT(INDEX(Responses!$A$5:$ZZ$5,1,MATCH(B$6,Responses!$1:$1,0)),1)="N","NA",VALUE(LEFT(INDEX(Responses!$A$5:$ZZ$5,1,MATCH(B$6,Responses!$1:$1,0)),1))))</f>
        <v>4</v>
      </c>
      <c r="C10">
        <f>IF(INDEX(Responses!$A$5:$ZZ$5,1,MATCH(C$6,Responses!$1:$1,0))&amp;""="","",IF(LEFT(INDEX(Responses!$A$5:$ZZ$5,1,MATCH(C$6,Responses!$1:$1,0)),1)="N","NA",VALUE(LEFT(INDEX(Responses!$A$5:$ZZ$5,1,MATCH(C$6,Responses!$1:$1,0)),1))))</f>
        <v>2</v>
      </c>
      <c r="D10">
        <f>IF(INDEX(Responses!$A$5:$ZZ$5,1,MATCH(D$6,Responses!$1:$1,0))&amp;""="","",IF(LEFT(INDEX(Responses!$A$5:$ZZ$5,1,MATCH(D$6,Responses!$1:$1,0)),1)="N","NA",VALUE(LEFT(INDEX(Responses!$A$5:$ZZ$5,1,MATCH(D$6,Responses!$1:$1,0)),1))))</f>
        <v>3</v>
      </c>
      <c r="E10">
        <f>IF(INDEX(Responses!$A$5:$ZZ$5,1,MATCH(E$6,Responses!$1:$1,0))&amp;""="","",IF(LEFT(INDEX(Responses!$A$5:$ZZ$5,1,MATCH(E$6,Responses!$1:$1,0)),1)="N","NA",VALUE(LEFT(INDEX(Responses!$A$5:$ZZ$5,1,MATCH(E$6,Responses!$1:$1,0)),1))))</f>
        <v>1</v>
      </c>
      <c r="F10">
        <f>IF(INDEX(Responses!$A$5:$ZZ$5,1,MATCH(F$6,Responses!$1:$1,0))&amp;""="","",IF(LEFT(INDEX(Responses!$A$5:$ZZ$5,1,MATCH(F$6,Responses!$1:$1,0)),1)="N","NA",VALUE(LEFT(INDEX(Responses!$A$5:$ZZ$5,1,MATCH(F$6,Responses!$1:$1,0)),1))))</f>
        <v>1</v>
      </c>
      <c r="G10">
        <f>IF(INDEX(Responses!$A$5:$ZZ$5,1,MATCH(G$6,Responses!$1:$1,0))&amp;""="","",IF(LEFT(INDEX(Responses!$A$5:$ZZ$5,1,MATCH(G$6,Responses!$1:$1,0)),1)="N","NA",VALUE(LEFT(INDEX(Responses!$A$5:$ZZ$5,1,MATCH(G$6,Responses!$1:$1,0)),1))))</f>
        <v>2</v>
      </c>
      <c r="H10">
        <f>IF(INDEX(Responses!$A$5:$ZZ$5,1,MATCH(H$6,Responses!$1:$1,0))&amp;""="","",IF(LEFT(INDEX(Responses!$A$5:$ZZ$5,1,MATCH(H$6,Responses!$1:$1,0)),1)="N","NA",VALUE(LEFT(INDEX(Responses!$A$5:$ZZ$5,1,MATCH(H$6,Responses!$1:$1,0)),1))))</f>
        <v>3</v>
      </c>
      <c r="I10">
        <f>IF(INDEX(Responses!$A$5:$ZZ$5,1,MATCH(I$6,Responses!$1:$1,0))&amp;""="","",IF(LEFT(INDEX(Responses!$A$5:$ZZ$5,1,MATCH(I$6,Responses!$1:$1,0)),1)="N","NA",VALUE(LEFT(INDEX(Responses!$A$5:$ZZ$5,1,MATCH(I$6,Responses!$1:$1,0)),1))))</f>
        <v>4</v>
      </c>
      <c r="J10">
        <f>IF(INDEX(Responses!$A$5:$ZZ$5,1,MATCH(J$6,Responses!$1:$1,0))&amp;""="","",IF(LEFT(INDEX(Responses!$A$5:$ZZ$5,1,MATCH(J$6,Responses!$1:$1,0)),1)="N","NA",VALUE(LEFT(INDEX(Responses!$A$5:$ZZ$5,1,MATCH(J$6,Responses!$1:$1,0)),1))))</f>
        <v>4</v>
      </c>
      <c r="K10">
        <f>IF(INDEX(Responses!$A$5:$ZZ$5,1,MATCH(K$6,Responses!$1:$1,0))&amp;""="","",IF(LEFT(INDEX(Responses!$A$5:$ZZ$5,1,MATCH(K$6,Responses!$1:$1,0)),1)="N","NA",VALUE(LEFT(INDEX(Responses!$A$5:$ZZ$5,1,MATCH(K$6,Responses!$1:$1,0)),1))))</f>
        <v>3</v>
      </c>
      <c r="L10">
        <f>IF(INDEX(Responses!$A$5:$ZZ$5,1,MATCH(L$6,Responses!$1:$1,0))&amp;""="","",IF(LEFT(INDEX(Responses!$A$5:$ZZ$5,1,MATCH(L$6,Responses!$1:$1,0)),1)="N","NA",VALUE(LEFT(INDEX(Responses!$A$5:$ZZ$5,1,MATCH(L$6,Responses!$1:$1,0)),1))))</f>
        <v>3</v>
      </c>
      <c r="M10">
        <f>IF(INDEX(Responses!$A$5:$ZZ$5,1,MATCH(M$6,Responses!$1:$1,0))&amp;""="","",IF(LEFT(INDEX(Responses!$A$5:$ZZ$5,1,MATCH(M$6,Responses!$1:$1,0)),1)="N","NA",VALUE(LEFT(INDEX(Responses!$A$5:$ZZ$5,1,MATCH(M$6,Responses!$1:$1,0)),1))))</f>
        <v>3</v>
      </c>
      <c r="N10">
        <f>IF(INDEX(Responses!$A$5:$ZZ$5,1,MATCH(N$6,Responses!$1:$1,0))&amp;""="","",IF(LEFT(INDEX(Responses!$A$5:$ZZ$5,1,MATCH(N$6,Responses!$1:$1,0)),1)="N","NA",VALUE(LEFT(INDEX(Responses!$A$5:$ZZ$5,1,MATCH(N$6,Responses!$1:$1,0)),1))))</f>
        <v>3</v>
      </c>
      <c r="O10">
        <f>IF(INDEX(Responses!$A$5:$ZZ$5,1,MATCH(O$6,Responses!$1:$1,0))&amp;""="","",IF(LEFT(INDEX(Responses!$A$5:$ZZ$5,1,MATCH(O$6,Responses!$1:$1,0)),1)="N","NA",VALUE(LEFT(INDEX(Responses!$A$5:$ZZ$5,1,MATCH(O$6,Responses!$1:$1,0)),1))))</f>
        <v>3</v>
      </c>
      <c r="P10">
        <f>IF(INDEX(Responses!$A$5:$ZZ$5,1,MATCH(P$6,Responses!$1:$1,0))&amp;""="","",IF(LEFT(INDEX(Responses!$A$5:$ZZ$5,1,MATCH(P$6,Responses!$1:$1,0)),1)="N","NA",VALUE(LEFT(INDEX(Responses!$A$5:$ZZ$5,1,MATCH(P$6,Responses!$1:$1,0)),1))))</f>
        <v>2</v>
      </c>
      <c r="Q10">
        <f>IF(INDEX(Responses!$A$5:$ZZ$5,1,MATCH(Q$6,Responses!$1:$1,0))&amp;""="","",IF(LEFT(INDEX(Responses!$A$5:$ZZ$5,1,MATCH(Q$6,Responses!$1:$1,0)),1)="N","NA",VALUE(LEFT(INDEX(Responses!$A$5:$ZZ$5,1,MATCH(Q$6,Responses!$1:$1,0)),1))))</f>
        <v>3</v>
      </c>
      <c r="R10">
        <f>IF(INDEX(Responses!$A$5:$ZZ$5,1,MATCH(R$6,Responses!$1:$1,0))&amp;""="","",IF(LEFT(INDEX(Responses!$A$5:$ZZ$5,1,MATCH(R$6,Responses!$1:$1,0)),1)="N","NA",VALUE(LEFT(INDEX(Responses!$A$5:$ZZ$5,1,MATCH(R$6,Responses!$1:$1,0)),1))))</f>
        <v>3</v>
      </c>
      <c r="S10">
        <f>IF(INDEX(Responses!$A$5:$ZZ$5,1,MATCH(S$6,Responses!$1:$1,0))&amp;""="","",IF(LEFT(INDEX(Responses!$A$5:$ZZ$5,1,MATCH(S$6,Responses!$1:$1,0)),1)="N","NA",VALUE(LEFT(INDEX(Responses!$A$5:$ZZ$5,1,MATCH(S$6,Responses!$1:$1,0)),1))))</f>
        <v>3</v>
      </c>
      <c r="T10">
        <f>IF(INDEX(Responses!$A$5:$ZZ$5,1,MATCH(T$6,Responses!$1:$1,0))&amp;""="","",IF(LEFT(INDEX(Responses!$A$5:$ZZ$5,1,MATCH(T$6,Responses!$1:$1,0)),1)="N","NA",VALUE(LEFT(INDEX(Responses!$A$5:$ZZ$5,1,MATCH(T$6,Responses!$1:$1,0)),1))))</f>
        <v>3</v>
      </c>
      <c r="U10">
        <f>IF(INDEX(Responses!$A$5:$ZZ$5,1,MATCH(U$6,Responses!$1:$1,0))&amp;""="","",IF(LEFT(INDEX(Responses!$A$5:$ZZ$5,1,MATCH(U$6,Responses!$1:$1,0)),1)="N","NA",VALUE(LEFT(INDEX(Responses!$A$5:$ZZ$5,1,MATCH(U$6,Responses!$1:$1,0)),1))))</f>
        <v>3</v>
      </c>
      <c r="V10">
        <f>IF(INDEX(Responses!$A$5:$ZZ$5,1,MATCH(V$6,Responses!$1:$1,0))&amp;""="","",IF(LEFT(INDEX(Responses!$A$5:$ZZ$5,1,MATCH(V$6,Responses!$1:$1,0)),1)="N","NA",VALUE(LEFT(INDEX(Responses!$A$5:$ZZ$5,1,MATCH(V$6,Responses!$1:$1,0)),1))))</f>
        <v>4</v>
      </c>
      <c r="W10">
        <f>IF(INDEX(Responses!$A$5:$ZZ$5,1,MATCH(W$6,Responses!$1:$1,0))&amp;""="","",IF(LEFT(INDEX(Responses!$A$5:$ZZ$5,1,MATCH(W$6,Responses!$1:$1,0)),1)="N","NA",VALUE(LEFT(INDEX(Responses!$A$5:$ZZ$5,1,MATCH(W$6,Responses!$1:$1,0)),1))))</f>
        <v>2</v>
      </c>
      <c r="X10">
        <f>IF(INDEX(Responses!$A$5:$ZZ$5,1,MATCH(X$6,Responses!$1:$1,0))&amp;""="","",IF(LEFT(INDEX(Responses!$A$5:$ZZ$5,1,MATCH(X$6,Responses!$1:$1,0)),1)="N","NA",VALUE(LEFT(INDEX(Responses!$A$5:$ZZ$5,1,MATCH(X$6,Responses!$1:$1,0)),1))))</f>
        <v>3</v>
      </c>
      <c r="Y10">
        <f>IF(INDEX(Responses!$A$5:$ZZ$5,1,MATCH(Y$6,Responses!$1:$1,0))&amp;""="","",IF(LEFT(INDEX(Responses!$A$5:$ZZ$5,1,MATCH(Y$6,Responses!$1:$1,0)),1)="N","NA",VALUE(LEFT(INDEX(Responses!$A$5:$ZZ$5,1,MATCH(Y$6,Responses!$1:$1,0)),1))))</f>
        <v>2</v>
      </c>
      <c r="Z10">
        <f>IF(INDEX(Responses!$A$5:$ZZ$5,1,MATCH(Z$6,Responses!$1:$1,0))&amp;""="","",IF(LEFT(INDEX(Responses!$A$5:$ZZ$5,1,MATCH(Z$6,Responses!$1:$1,0)),1)="N","NA",VALUE(LEFT(INDEX(Responses!$A$5:$ZZ$5,1,MATCH(Z$6,Responses!$1:$1,0)),1))))</f>
        <v>2</v>
      </c>
      <c r="AA10">
        <f>IF(INDEX(Responses!$A$5:$ZZ$5,1,MATCH(AA$6,Responses!$1:$1,0))&amp;""="","",IF(LEFT(INDEX(Responses!$A$5:$ZZ$5,1,MATCH(AA$6,Responses!$1:$1,0)),1)="N","NA",VALUE(LEFT(INDEX(Responses!$A$5:$ZZ$5,1,MATCH(AA$6,Responses!$1:$1,0)),1))))</f>
        <v>3</v>
      </c>
      <c r="AB10">
        <f>IF(INDEX(Responses!$A$5:$ZZ$5,1,MATCH(AB$6,Responses!$1:$1,0))&amp;""="","",IF(LEFT(INDEX(Responses!$A$5:$ZZ$5,1,MATCH(AB$6,Responses!$1:$1,0)),1)="N","NA",VALUE(LEFT(INDEX(Responses!$A$5:$ZZ$5,1,MATCH(AB$6,Responses!$1:$1,0)),1))))</f>
        <v>3</v>
      </c>
      <c r="AC10">
        <f>IF(INDEX(Responses!$A$5:$ZZ$5,1,MATCH(AC$6,Responses!$1:$1,0))&amp;""="","",IF(LEFT(INDEX(Responses!$A$5:$ZZ$5,1,MATCH(AC$6,Responses!$1:$1,0)),1)="N","NA",VALUE(LEFT(INDEX(Responses!$A$5:$ZZ$5,1,MATCH(AC$6,Responses!$1:$1,0)),1))))</f>
        <v>3</v>
      </c>
      <c r="AD10">
        <f>IF(INDEX(Responses!$A$5:$ZZ$5,1,MATCH(AD$6,Responses!$1:$1,0))&amp;""="","",IF(LEFT(INDEX(Responses!$A$5:$ZZ$5,1,MATCH(AD$6,Responses!$1:$1,0)),1)="N","NA",VALUE(LEFT(INDEX(Responses!$A$5:$ZZ$5,1,MATCH(AD$6,Responses!$1:$1,0)),1))))</f>
        <v>3</v>
      </c>
      <c r="AE10">
        <f>IF(INDEX(Responses!$A$5:$ZZ$5,1,MATCH(AE$6,Responses!$1:$1,0))&amp;""="","",IF(LEFT(INDEX(Responses!$A$5:$ZZ$5,1,MATCH(AE$6,Responses!$1:$1,0)),1)="N","NA",VALUE(LEFT(INDEX(Responses!$A$5:$ZZ$5,1,MATCH(AE$6,Responses!$1:$1,0)),1))))</f>
        <v>2</v>
      </c>
      <c r="AF10">
        <f>IF(INDEX(Responses!$A$5:$ZZ$5,1,MATCH(AF$6,Responses!$1:$1,0))&amp;""="","",IF(LEFT(INDEX(Responses!$A$5:$ZZ$5,1,MATCH(AF$6,Responses!$1:$1,0)),1)="N","NA",VALUE(LEFT(INDEX(Responses!$A$5:$ZZ$5,1,MATCH(AF$6,Responses!$1:$1,0)),1))))</f>
        <v>3</v>
      </c>
      <c r="AG10">
        <f>IF(INDEX(Responses!$A$5:$ZZ$5,1,MATCH(AG$6,Responses!$1:$1,0))&amp;""="","",IF(LEFT(INDEX(Responses!$A$5:$ZZ$5,1,MATCH(AG$6,Responses!$1:$1,0)),1)="N","NA",VALUE(LEFT(INDEX(Responses!$A$5:$ZZ$5,1,MATCH(AG$6,Responses!$1:$1,0)),1))))</f>
        <v>3</v>
      </c>
      <c r="AH10">
        <f>IF(INDEX(Responses!$A$5:$ZZ$5,1,MATCH(AH$6,Responses!$1:$1,0))&amp;""="","",IF(LEFT(INDEX(Responses!$A$5:$ZZ$5,1,MATCH(AH$6,Responses!$1:$1,0)),1)="N","NA",VALUE(LEFT(INDEX(Responses!$A$5:$ZZ$5,1,MATCH(AH$6,Responses!$1:$1,0)),1))))</f>
        <v>3</v>
      </c>
      <c r="AI10">
        <f>IF(INDEX(Responses!$A$5:$ZZ$5,1,MATCH(AI$6,Responses!$1:$1,0))&amp;""="","",IF(LEFT(INDEX(Responses!$A$5:$ZZ$5,1,MATCH(AI$6,Responses!$1:$1,0)),1)="N","NA",VALUE(LEFT(INDEX(Responses!$A$5:$ZZ$5,1,MATCH(AI$6,Responses!$1:$1,0)),1))))</f>
        <v>3</v>
      </c>
      <c r="AJ10">
        <f>IF(INDEX(Responses!$A$5:$ZZ$5,1,MATCH(AJ$6,Responses!$1:$1,0))&amp;""="","",IF(LEFT(INDEX(Responses!$A$5:$ZZ$5,1,MATCH(AJ$6,Responses!$1:$1,0)),1)="N","NA",VALUE(LEFT(INDEX(Responses!$A$5:$ZZ$5,1,MATCH(AJ$6,Responses!$1:$1,0)),1))))</f>
        <v>4</v>
      </c>
      <c r="AK10">
        <f>IF(INDEX(Responses!$A$5:$ZZ$5,1,MATCH(AK$6,Responses!$1:$1,0))&amp;""="","",IF(LEFT(INDEX(Responses!$A$5:$ZZ$5,1,MATCH(AK$6,Responses!$1:$1,0)),1)="N","NA",VALUE(LEFT(INDEX(Responses!$A$5:$ZZ$5,1,MATCH(AK$6,Responses!$1:$1,0)),1))))</f>
        <v>2</v>
      </c>
      <c r="AL10">
        <f>IF(INDEX(Responses!$A$5:$ZZ$5,1,MATCH(AL$6,Responses!$1:$1,0))&amp;""="","",IF(LEFT(INDEX(Responses!$A$5:$ZZ$5,1,MATCH(AL$6,Responses!$1:$1,0)),1)="N","NA",VALUE(LEFT(INDEX(Responses!$A$5:$ZZ$5,1,MATCH(AL$6,Responses!$1:$1,0)),1))))</f>
        <v>4</v>
      </c>
      <c r="AM10">
        <f>IF(INDEX(Responses!$A$5:$ZZ$5,1,MATCH(AM$6,Responses!$1:$1,0))&amp;""="","",IF(LEFT(INDEX(Responses!$A$5:$ZZ$5,1,MATCH(AM$6,Responses!$1:$1,0)),1)="N","NA",VALUE(LEFT(INDEX(Responses!$A$5:$ZZ$5,1,MATCH(AM$6,Responses!$1:$1,0)),1))))</f>
        <v>3</v>
      </c>
      <c r="AN10">
        <f>IF(INDEX(Responses!$A$5:$ZZ$5,1,MATCH(AN$6,Responses!$1:$1,0))&amp;""="","",IF(LEFT(INDEX(Responses!$A$5:$ZZ$5,1,MATCH(AN$6,Responses!$1:$1,0)),1)="N","NA",VALUE(LEFT(INDEX(Responses!$A$5:$ZZ$5,1,MATCH(AN$6,Responses!$1:$1,0)),1))))</f>
        <v>2</v>
      </c>
      <c r="AO10">
        <f>IF(INDEX(Responses!$A$5:$ZZ$5,1,MATCH(AO$6,Responses!$1:$1,0))&amp;""="","",IF(LEFT(INDEX(Responses!$A$5:$ZZ$5,1,MATCH(AO$6,Responses!$1:$1,0)),1)="N","NA",VALUE(LEFT(INDEX(Responses!$A$5:$ZZ$5,1,MATCH(AO$6,Responses!$1:$1,0)),1))))</f>
        <v>3</v>
      </c>
      <c r="AP10">
        <f>IF(INDEX(Responses!$A$5:$ZZ$5,1,MATCH(AP$6,Responses!$1:$1,0))&amp;""="","",IF(LEFT(INDEX(Responses!$A$5:$ZZ$5,1,MATCH(AP$6,Responses!$1:$1,0)),1)="N","NA",VALUE(LEFT(INDEX(Responses!$A$5:$ZZ$5,1,MATCH(AP$6,Responses!$1:$1,0)),1))))</f>
        <v>3</v>
      </c>
      <c r="AQ10">
        <f>IF(INDEX(Responses!$A$5:$ZZ$5,1,MATCH(AQ$6,Responses!$1:$1,0))&amp;""="","",IF(LEFT(INDEX(Responses!$A$5:$ZZ$5,1,MATCH(AQ$6,Responses!$1:$1,0)),1)="N","NA",VALUE(LEFT(INDEX(Responses!$A$5:$ZZ$5,1,MATCH(AQ$6,Responses!$1:$1,0)),1))))</f>
        <v>4</v>
      </c>
      <c r="AR10">
        <f>IF(INDEX(Responses!$A$5:$ZZ$5,1,MATCH(AR$6,Responses!$1:$1,0))&amp;""="","",IF(LEFT(INDEX(Responses!$A$5:$ZZ$5,1,MATCH(AR$6,Responses!$1:$1,0)),1)="N","NA",VALUE(LEFT(INDEX(Responses!$A$5:$ZZ$5,1,MATCH(AR$6,Responses!$1:$1,0)),1))))</f>
        <v>4</v>
      </c>
      <c r="AS10">
        <f>IF(INDEX(Responses!$A$5:$ZZ$5,1,MATCH(AS$6,Responses!$1:$1,0))&amp;""="","",IF(LEFT(INDEX(Responses!$A$5:$ZZ$5,1,MATCH(AS$6,Responses!$1:$1,0)),1)="N","NA",VALUE(LEFT(INDEX(Responses!$A$5:$ZZ$5,1,MATCH(AS$6,Responses!$1:$1,0)),1))))</f>
        <v>2</v>
      </c>
      <c r="AT10">
        <f>IF(INDEX(Responses!$A$5:$ZZ$5,1,MATCH(AT$6,Responses!$1:$1,0))&amp;""="","",IF(LEFT(INDEX(Responses!$A$5:$ZZ$5,1,MATCH(AT$6,Responses!$1:$1,0)),1)="N","NA",VALUE(LEFT(INDEX(Responses!$A$5:$ZZ$5,1,MATCH(AT$6,Responses!$1:$1,0)),1))))</f>
        <v>2</v>
      </c>
      <c r="AU10">
        <f>IF(INDEX(Responses!$A$5:$ZZ$5,1,MATCH(AU$6,Responses!$1:$1,0))&amp;""="","",IF(LEFT(INDEX(Responses!$A$5:$ZZ$5,1,MATCH(AU$6,Responses!$1:$1,0)),1)="N","NA",VALUE(LEFT(INDEX(Responses!$A$5:$ZZ$5,1,MATCH(AU$6,Responses!$1:$1,0)),1))))</f>
        <v>2</v>
      </c>
      <c r="AV10">
        <f>IF(INDEX(Responses!$A$5:$ZZ$5,1,MATCH(AV$6,Responses!$1:$1,0))&amp;""="","",IF(LEFT(INDEX(Responses!$A$5:$ZZ$5,1,MATCH(AV$6,Responses!$1:$1,0)),1)="N","NA",VALUE(LEFT(INDEX(Responses!$A$5:$ZZ$5,1,MATCH(AV$6,Responses!$1:$1,0)),1))))</f>
        <v>3</v>
      </c>
      <c r="AW10">
        <f>IF(INDEX(Responses!$A$5:$ZZ$5,1,MATCH(AW$6,Responses!$1:$1,0))&amp;""="","",IF(LEFT(INDEX(Responses!$A$5:$ZZ$5,1,MATCH(AW$6,Responses!$1:$1,0)),1)="N","NA",VALUE(LEFT(INDEX(Responses!$A$5:$ZZ$5,1,MATCH(AW$6,Responses!$1:$1,0)),1))))</f>
        <v>3</v>
      </c>
      <c r="AX10">
        <f>IF(INDEX(Responses!$A$5:$ZZ$5,1,MATCH(AX$6,Responses!$1:$1,0))&amp;""="","",IF(LEFT(INDEX(Responses!$A$5:$ZZ$5,1,MATCH(AX$6,Responses!$1:$1,0)),1)="N","NA",VALUE(LEFT(INDEX(Responses!$A$5:$ZZ$5,1,MATCH(AX$6,Responses!$1:$1,0)),1))))</f>
        <v>4</v>
      </c>
      <c r="AY10">
        <f>IF(INDEX(Responses!$A$5:$ZZ$5,1,MATCH(AY$6,Responses!$1:$1,0))&amp;""="","",IF(LEFT(INDEX(Responses!$A$5:$ZZ$5,1,MATCH(AY$6,Responses!$1:$1,0)),1)="N","NA",VALUE(LEFT(INDEX(Responses!$A$5:$ZZ$5,1,MATCH(AY$6,Responses!$1:$1,0)),1))))</f>
        <v>3</v>
      </c>
      <c r="AZ10">
        <f>IF(INDEX(Responses!$A$5:$ZZ$5,1,MATCH(AZ$6,Responses!$1:$1,0))&amp;""="","",IF(LEFT(INDEX(Responses!$A$5:$ZZ$5,1,MATCH(AZ$6,Responses!$1:$1,0)),1)="N","NA",VALUE(LEFT(INDEX(Responses!$A$5:$ZZ$5,1,MATCH(AZ$6,Responses!$1:$1,0)),1))))</f>
        <v>4</v>
      </c>
      <c r="BA10">
        <f>IF(INDEX(Responses!$A$5:$ZZ$5,1,MATCH(BA$6,Responses!$1:$1,0))&amp;""="","",IF(LEFT(INDEX(Responses!$A$5:$ZZ$5,1,MATCH(BA$6,Responses!$1:$1,0)),1)="N","NA",VALUE(LEFT(INDEX(Responses!$A$5:$ZZ$5,1,MATCH(BA$6,Responses!$1:$1,0)),1))))</f>
        <v>4</v>
      </c>
      <c r="BB10">
        <f>IF(INDEX(Responses!$A$5:$ZZ$5,1,MATCH(BB$6,Responses!$1:$1,0))&amp;""="","",IF(LEFT(INDEX(Responses!$A$5:$ZZ$5,1,MATCH(BB$6,Responses!$1:$1,0)),1)="N","NA",VALUE(LEFT(INDEX(Responses!$A$5:$ZZ$5,1,MATCH(BB$6,Responses!$1:$1,0)),1))))</f>
        <v>3</v>
      </c>
      <c r="BC10">
        <f>IF(INDEX(Responses!$A$5:$ZZ$5,1,MATCH(BC$6,Responses!$1:$1,0))&amp;""="","",IF(LEFT(INDEX(Responses!$A$5:$ZZ$5,1,MATCH(BC$6,Responses!$1:$1,0)),1)="N","NA",VALUE(LEFT(INDEX(Responses!$A$5:$ZZ$5,1,MATCH(BC$6,Responses!$1:$1,0)),1))))</f>
        <v>2</v>
      </c>
      <c r="BD10">
        <f>IF(INDEX(Responses!$A$5:$ZZ$5,1,MATCH(BD$6,Responses!$1:$1,0))&amp;""="","",IF(LEFT(INDEX(Responses!$A$5:$ZZ$5,1,MATCH(BD$6,Responses!$1:$1,0)),1)="N","NA",VALUE(LEFT(INDEX(Responses!$A$5:$ZZ$5,1,MATCH(BD$6,Responses!$1:$1,0)),1))))</f>
        <v>3</v>
      </c>
      <c r="BE10">
        <f>IF(INDEX(Responses!$A$5:$ZZ$5,1,MATCH(BE$6,Responses!$1:$1,0))&amp;""="","",IF(LEFT(INDEX(Responses!$A$5:$ZZ$5,1,MATCH(BE$6,Responses!$1:$1,0)),1)="N","NA",VALUE(LEFT(INDEX(Responses!$A$5:$ZZ$5,1,MATCH(BE$6,Responses!$1:$1,0)),1))))</f>
        <v>3</v>
      </c>
      <c r="BF10">
        <f>IF(INDEX(Responses!$A$5:$ZZ$5,1,MATCH(BF$6,Responses!$1:$1,0))&amp;""="","",IF(LEFT(INDEX(Responses!$A$5:$ZZ$5,1,MATCH(BF$6,Responses!$1:$1,0)),1)="N","NA",VALUE(LEFT(INDEX(Responses!$A$5:$ZZ$5,1,MATCH(BF$6,Responses!$1:$1,0)),1))))</f>
        <v>2</v>
      </c>
      <c r="BG10">
        <f>IF(INDEX(Responses!$A$5:$ZZ$5,1,MATCH(BG$6,Responses!$1:$1,0))&amp;""="","",IF(LEFT(INDEX(Responses!$A$5:$ZZ$5,1,MATCH(BG$6,Responses!$1:$1,0)),1)="N","NA",VALUE(LEFT(INDEX(Responses!$A$5:$ZZ$5,1,MATCH(BG$6,Responses!$1:$1,0)),1))))</f>
        <v>4</v>
      </c>
      <c r="BH10">
        <f>IF(INDEX(Responses!$A$5:$ZZ$5,1,MATCH(BH$6,Responses!$1:$1,0))&amp;""="","",IF(LEFT(INDEX(Responses!$A$5:$ZZ$5,1,MATCH(BH$6,Responses!$1:$1,0)),1)="N","NA",VALUE(LEFT(INDEX(Responses!$A$5:$ZZ$5,1,MATCH(BH$6,Responses!$1:$1,0)),1))))</f>
        <v>3</v>
      </c>
      <c r="BI10">
        <f>IF(INDEX(Responses!$A$5:$ZZ$5,1,MATCH(BI$6,Responses!$1:$1,0))&amp;""="","",IF(LEFT(INDEX(Responses!$A$5:$ZZ$5,1,MATCH(BI$6,Responses!$1:$1,0)),1)="N","NA",VALUE(LEFT(INDEX(Responses!$A$5:$ZZ$5,1,MATCH(BI$6,Responses!$1:$1,0)),1))))</f>
        <v>2</v>
      </c>
      <c r="BJ10">
        <f>IF(INDEX(Responses!$A$5:$ZZ$5,1,MATCH(BJ$6,Responses!$1:$1,0))&amp;""="","",IF(LEFT(INDEX(Responses!$A$5:$ZZ$5,1,MATCH(BJ$6,Responses!$1:$1,0)),1)="N","NA",VALUE(LEFT(INDEX(Responses!$A$5:$ZZ$5,1,MATCH(BJ$6,Responses!$1:$1,0)),1))))</f>
        <v>2</v>
      </c>
      <c r="BK10">
        <f>IF(INDEX(Responses!$A$5:$ZZ$5,1,MATCH(BK$6,Responses!$1:$1,0))&amp;""="","",IF(LEFT(INDEX(Responses!$A$5:$ZZ$5,1,MATCH(BK$6,Responses!$1:$1,0)),1)="N","NA",VALUE(LEFT(INDEX(Responses!$A$5:$ZZ$5,1,MATCH(BK$6,Responses!$1:$1,0)),1))))</f>
        <v>5</v>
      </c>
      <c r="BL10">
        <f>IF(INDEX(Responses!$A$5:$ZZ$5,1,MATCH(BL$6,Responses!$1:$1,0))&amp;""="","",IF(LEFT(INDEX(Responses!$A$5:$ZZ$5,1,MATCH(BL$6,Responses!$1:$1,0)),1)="N","NA",VALUE(LEFT(INDEX(Responses!$A$5:$ZZ$5,1,MATCH(BL$6,Responses!$1:$1,0)),1))))</f>
        <v>3</v>
      </c>
      <c r="BM10">
        <f>IF(INDEX(Responses!$A$5:$ZZ$5,1,MATCH(BM$6,Responses!$1:$1,0))&amp;""="","",IF(LEFT(INDEX(Responses!$A$5:$ZZ$5,1,MATCH(BM$6,Responses!$1:$1,0)),1)="N","NA",VALUE(LEFT(INDEX(Responses!$A$5:$ZZ$5,1,MATCH(BM$6,Responses!$1:$1,0)),1))))</f>
        <v>3</v>
      </c>
      <c r="BN10">
        <f>IF(INDEX(Responses!$A$5:$ZZ$5,1,MATCH(BN$6,Responses!$1:$1,0))&amp;""="","",IF(LEFT(INDEX(Responses!$A$5:$ZZ$5,1,MATCH(BN$6,Responses!$1:$1,0)),1)="N","NA",VALUE(LEFT(INDEX(Responses!$A$5:$ZZ$5,1,MATCH(BN$6,Responses!$1:$1,0)),1))))</f>
        <v>3</v>
      </c>
      <c r="BO10">
        <f>IF(INDEX(Responses!$A$5:$ZZ$5,1,MATCH(BO$6,Responses!$1:$1,0))&amp;""="","",IF(LEFT(INDEX(Responses!$A$5:$ZZ$5,1,MATCH(BO$6,Responses!$1:$1,0)),1)="N","NA",VALUE(LEFT(INDEX(Responses!$A$5:$ZZ$5,1,MATCH(BO$6,Responses!$1:$1,0)),1))))</f>
        <v>3</v>
      </c>
      <c r="BP10">
        <f>IF(INDEX(Responses!$A$5:$ZZ$5,1,MATCH(BP$6,Responses!$1:$1,0))&amp;""="","",IF(LEFT(INDEX(Responses!$A$5:$ZZ$5,1,MATCH(BP$6,Responses!$1:$1,0)),1)="N","NA",VALUE(LEFT(INDEX(Responses!$A$5:$ZZ$5,1,MATCH(BP$6,Responses!$1:$1,0)),1))))</f>
        <v>4</v>
      </c>
      <c r="BQ10">
        <f>IF(INDEX(Responses!$A$5:$ZZ$5,1,MATCH(BQ$6,Responses!$1:$1,0))&amp;""="","",IF(LEFT(INDEX(Responses!$A$5:$ZZ$5,1,MATCH(BQ$6,Responses!$1:$1,0)),1)="N","NA",VALUE(LEFT(INDEX(Responses!$A$5:$ZZ$5,1,MATCH(BQ$6,Responses!$1:$1,0)),1))))</f>
        <v>4</v>
      </c>
      <c r="BR10">
        <f>IF(INDEX(Responses!$A$5:$ZZ$5,1,MATCH(BR$6,Responses!$1:$1,0))&amp;""="","",IF(LEFT(INDEX(Responses!$A$5:$ZZ$5,1,MATCH(BR$6,Responses!$1:$1,0)),1)="N","NA",VALUE(LEFT(INDEX(Responses!$A$5:$ZZ$5,1,MATCH(BR$6,Responses!$1:$1,0)),1))))</f>
        <v>4</v>
      </c>
      <c r="BS10">
        <f>IF(INDEX(Responses!$A$5:$ZZ$5,1,MATCH(BS$6,Responses!$1:$1,0))&amp;""="","",IF(LEFT(INDEX(Responses!$A$5:$ZZ$5,1,MATCH(BS$6,Responses!$1:$1,0)),1)="N","NA",VALUE(LEFT(INDEX(Responses!$A$5:$ZZ$5,1,MATCH(BS$6,Responses!$1:$1,0)),1))))</f>
        <v>4</v>
      </c>
      <c r="BT10">
        <f>IF(INDEX(Responses!$A$5:$ZZ$5,1,MATCH(BT$6,Responses!$1:$1,0))&amp;""="","",IF(LEFT(INDEX(Responses!$A$5:$ZZ$5,1,MATCH(BT$6,Responses!$1:$1,0)),1)="N","NA",VALUE(LEFT(INDEX(Responses!$A$5:$ZZ$5,1,MATCH(BT$6,Responses!$1:$1,0)),1))))</f>
        <v>3</v>
      </c>
      <c r="BU10">
        <f>IF(INDEX(Responses!$A$5:$ZZ$5,1,MATCH(BU$6,Responses!$1:$1,0))&amp;""="","",IF(LEFT(INDEX(Responses!$A$5:$ZZ$5,1,MATCH(BU$6,Responses!$1:$1,0)),1)="N","NA",VALUE(LEFT(INDEX(Responses!$A$5:$ZZ$5,1,MATCH(BU$6,Responses!$1:$1,0)),1))))</f>
        <v>3</v>
      </c>
      <c r="BV10">
        <f>IF(INDEX(Responses!$A$5:$ZZ$5,1,MATCH(BV$6,Responses!$1:$1,0))&amp;""="","",IF(LEFT(INDEX(Responses!$A$5:$ZZ$5,1,MATCH(BV$6,Responses!$1:$1,0)),1)="N","NA",VALUE(LEFT(INDEX(Responses!$A$5:$ZZ$5,1,MATCH(BV$6,Responses!$1:$1,0)),1))))</f>
        <v>3</v>
      </c>
      <c r="BW10">
        <f>IF(INDEX(Responses!$A$5:$ZZ$5,1,MATCH(BW$6,Responses!$1:$1,0))&amp;""="","",IF(LEFT(INDEX(Responses!$A$5:$ZZ$5,1,MATCH(BW$6,Responses!$1:$1,0)),1)="N","NA",VALUE(LEFT(INDEX(Responses!$A$5:$ZZ$5,1,MATCH(BW$6,Responses!$1:$1,0)),1))))</f>
        <v>2</v>
      </c>
      <c r="BX10">
        <f>IF(INDEX(Responses!$A$5:$ZZ$5,1,MATCH(BX$6,Responses!$1:$1,0))&amp;""="","",IF(LEFT(INDEX(Responses!$A$5:$ZZ$5,1,MATCH(BX$6,Responses!$1:$1,0)),1)="N","NA",VALUE(LEFT(INDEX(Responses!$A$5:$ZZ$5,1,MATCH(BX$6,Responses!$1:$1,0)),1))))</f>
        <v>3</v>
      </c>
      <c r="BY10">
        <f>IF(INDEX(Responses!$A$5:$ZZ$5,1,MATCH(BY$6,Responses!$1:$1,0))&amp;""="","",IF(LEFT(INDEX(Responses!$A$5:$ZZ$5,1,MATCH(BY$6,Responses!$1:$1,0)),1)="N","NA",VALUE(LEFT(INDEX(Responses!$A$5:$ZZ$5,1,MATCH(BY$6,Responses!$1:$1,0)),1))))</f>
        <v>2</v>
      </c>
      <c r="BZ10">
        <f>IF(INDEX(Responses!$A$5:$ZZ$5,1,MATCH(BZ$6,Responses!$1:$1,0))&amp;""="","",IF(LEFT(INDEX(Responses!$A$5:$ZZ$5,1,MATCH(BZ$6,Responses!$1:$1,0)),1)="N","NA",VALUE(LEFT(INDEX(Responses!$A$5:$ZZ$5,1,MATCH(BZ$6,Responses!$1:$1,0)),1))))</f>
        <v>4</v>
      </c>
      <c r="CA10">
        <f>IF(INDEX(Responses!$A$5:$ZZ$5,1,MATCH(CA$6,Responses!$1:$1,0))&amp;""="","",IF(LEFT(INDEX(Responses!$A$5:$ZZ$5,1,MATCH(CA$6,Responses!$1:$1,0)),1)="N","NA",VALUE(LEFT(INDEX(Responses!$A$5:$ZZ$5,1,MATCH(CA$6,Responses!$1:$1,0)),1))))</f>
        <v>3</v>
      </c>
      <c r="CB10">
        <f>IF(INDEX(Responses!$A$5:$ZZ$5,1,MATCH(CB$6,Responses!$1:$1,0))&amp;""="","",IF(LEFT(INDEX(Responses!$A$5:$ZZ$5,1,MATCH(CB$6,Responses!$1:$1,0)),1)="N","NA",VALUE(LEFT(INDEX(Responses!$A$5:$ZZ$5,1,MATCH(CB$6,Responses!$1:$1,0)),1))))</f>
        <v>3</v>
      </c>
      <c r="CC10">
        <f>IF(INDEX(Responses!$A$5:$ZZ$5,1,MATCH(CC$6,Responses!$1:$1,0))&amp;""="","",IF(LEFT(INDEX(Responses!$A$5:$ZZ$5,1,MATCH(CC$6,Responses!$1:$1,0)),1)="N","NA",VALUE(LEFT(INDEX(Responses!$A$5:$ZZ$5,1,MATCH(CC$6,Responses!$1:$1,0)),1))))</f>
        <v>4</v>
      </c>
      <c r="CD10">
        <f>IF(INDEX(Responses!$A$5:$ZZ$5,1,MATCH(CD$6,Responses!$1:$1,0))&amp;""="","",IF(LEFT(INDEX(Responses!$A$5:$ZZ$5,1,MATCH(CD$6,Responses!$1:$1,0)),1)="N","NA",VALUE(LEFT(INDEX(Responses!$A$5:$ZZ$5,1,MATCH(CD$6,Responses!$1:$1,0)),1))))</f>
        <v>4</v>
      </c>
      <c r="CE10">
        <f>IF(INDEX(Responses!$A$5:$ZZ$5,1,MATCH(CE$6,Responses!$1:$1,0))&amp;""="","",IF(LEFT(INDEX(Responses!$A$5:$ZZ$5,1,MATCH(CE$6,Responses!$1:$1,0)),1)="N","NA",VALUE(LEFT(INDEX(Responses!$A$5:$ZZ$5,1,MATCH(CE$6,Responses!$1:$1,0)),1))))</f>
        <v>3</v>
      </c>
      <c r="CF10">
        <f>IF(INDEX(Responses!$A$5:$ZZ$5,1,MATCH(CF$6,Responses!$1:$1,0))&amp;""="","",IF(LEFT(INDEX(Responses!$A$5:$ZZ$5,1,MATCH(CF$6,Responses!$1:$1,0)),1)="N","NA",VALUE(LEFT(INDEX(Responses!$A$5:$ZZ$5,1,MATCH(CF$6,Responses!$1:$1,0)),1))))</f>
        <v>1</v>
      </c>
      <c r="CG10">
        <f>IF(INDEX(Responses!$A$5:$ZZ$5,1,MATCH(CG$6,Responses!$1:$1,0))&amp;""="","",IF(LEFT(INDEX(Responses!$A$5:$ZZ$5,1,MATCH(CG$6,Responses!$1:$1,0)),1)="N","NA",VALUE(LEFT(INDEX(Responses!$A$5:$ZZ$5,1,MATCH(CG$6,Responses!$1:$1,0)),1))))</f>
        <v>4</v>
      </c>
      <c r="CH10">
        <f>IF(INDEX(Responses!$A$5:$ZZ$5,1,MATCH(CH$6,Responses!$1:$1,0))&amp;""="","",IF(LEFT(INDEX(Responses!$A$5:$ZZ$5,1,MATCH(CH$6,Responses!$1:$1,0)),1)="N","NA",VALUE(LEFT(INDEX(Responses!$A$5:$ZZ$5,1,MATCH(CH$6,Responses!$1:$1,0)),1))))</f>
        <v>3</v>
      </c>
      <c r="CI10">
        <f>IF(INDEX(Responses!$A$5:$ZZ$5,1,MATCH(CI$6,Responses!$1:$1,0))&amp;""="","",IF(LEFT(INDEX(Responses!$A$5:$ZZ$5,1,MATCH(CI$6,Responses!$1:$1,0)),1)="N","NA",VALUE(LEFT(INDEX(Responses!$A$5:$ZZ$5,1,MATCH(CI$6,Responses!$1:$1,0)),1))))</f>
        <v>3</v>
      </c>
      <c r="CJ10">
        <f>IF(INDEX(Responses!$A$5:$ZZ$5,1,MATCH(CJ$6,Responses!$1:$1,0))&amp;""="","",IF(LEFT(INDEX(Responses!$A$5:$ZZ$5,1,MATCH(CJ$6,Responses!$1:$1,0)),1)="N","NA",VALUE(LEFT(INDEX(Responses!$A$5:$ZZ$5,1,MATCH(CJ$6,Responses!$1:$1,0)),1))))</f>
        <v>1</v>
      </c>
      <c r="CK10">
        <f>IF(INDEX(Responses!$A$5:$ZZ$5,1,MATCH(CK$6,Responses!$1:$1,0))&amp;""="","",IF(LEFT(INDEX(Responses!$A$5:$ZZ$5,1,MATCH(CK$6,Responses!$1:$1,0)),1)="N","NA",VALUE(LEFT(INDEX(Responses!$A$5:$ZZ$5,1,MATCH(CK$6,Responses!$1:$1,0)),1))))</f>
        <v>3</v>
      </c>
      <c r="CL10">
        <f>IF(INDEX(Responses!$A$5:$ZZ$5,1,MATCH(CL$6,Responses!$1:$1,0))&amp;""="","",IF(LEFT(INDEX(Responses!$A$5:$ZZ$5,1,MATCH(CL$6,Responses!$1:$1,0)),1)="N","NA",VALUE(LEFT(INDEX(Responses!$A$5:$ZZ$5,1,MATCH(CL$6,Responses!$1:$1,0)),1))))</f>
        <v>3</v>
      </c>
      <c r="CM10">
        <f>IF(INDEX(Responses!$A$5:$ZZ$5,1,MATCH(CM$6,Responses!$1:$1,0))&amp;""="","",IF(LEFT(INDEX(Responses!$A$5:$ZZ$5,1,MATCH(CM$6,Responses!$1:$1,0)),1)="N","NA",VALUE(LEFT(INDEX(Responses!$A$5:$ZZ$5,1,MATCH(CM$6,Responses!$1:$1,0)),1))))</f>
        <v>3</v>
      </c>
      <c r="CN10">
        <f>IF(INDEX(Responses!$A$5:$ZZ$5,1,MATCH(CN$6,Responses!$1:$1,0))&amp;""="","",IF(LEFT(INDEX(Responses!$A$5:$ZZ$5,1,MATCH(CN$6,Responses!$1:$1,0)),1)="N","NA",VALUE(LEFT(INDEX(Responses!$A$5:$ZZ$5,1,MATCH(CN$6,Responses!$1:$1,0)),1))))</f>
        <v>2</v>
      </c>
      <c r="CO10">
        <f>IF(INDEX(Responses!$A$5:$ZZ$5,1,MATCH(CO$6,Responses!$1:$1,0))&amp;""="","",IF(LEFT(INDEX(Responses!$A$5:$ZZ$5,1,MATCH(CO$6,Responses!$1:$1,0)),1)="N","NA",VALUE(LEFT(INDEX(Responses!$A$5:$ZZ$5,1,MATCH(CO$6,Responses!$1:$1,0)),1))))</f>
        <v>3</v>
      </c>
      <c r="CP10">
        <f>IF(INDEX(Responses!$A$5:$ZZ$5,1,MATCH(CP$6,Responses!$1:$1,0))&amp;""="","",IF(LEFT(INDEX(Responses!$A$5:$ZZ$5,1,MATCH(CP$6,Responses!$1:$1,0)),1)="N","NA",VALUE(LEFT(INDEX(Responses!$A$5:$ZZ$5,1,MATCH(CP$6,Responses!$1:$1,0)),1))))</f>
        <v>3</v>
      </c>
      <c r="CQ10">
        <f>IF(INDEX(Responses!$A$5:$ZZ$5,1,MATCH(CQ$6,Responses!$1:$1,0))&amp;""="","",IF(LEFT(INDEX(Responses!$A$5:$ZZ$5,1,MATCH(CQ$6,Responses!$1:$1,0)),1)="N","NA",VALUE(LEFT(INDEX(Responses!$A$5:$ZZ$5,1,MATCH(CQ$6,Responses!$1:$1,0)),1))))</f>
        <v>4</v>
      </c>
      <c r="CR10">
        <f>IF(INDEX(Responses!$A$5:$ZZ$5,1,MATCH(CR$6,Responses!$1:$1,0))&amp;""="","",IF(LEFT(INDEX(Responses!$A$5:$ZZ$5,1,MATCH(CR$6,Responses!$1:$1,0)),1)="N","NA",VALUE(LEFT(INDEX(Responses!$A$5:$ZZ$5,1,MATCH(CR$6,Responses!$1:$1,0)),1))))</f>
        <v>4</v>
      </c>
      <c r="CS10">
        <f>IF(INDEX(Responses!$A$5:$ZZ$5,1,MATCH(CS$6,Responses!$1:$1,0))&amp;""="","",IF(LEFT(INDEX(Responses!$A$5:$ZZ$5,1,MATCH(CS$6,Responses!$1:$1,0)),1)="N","NA",VALUE(LEFT(INDEX(Responses!$A$5:$ZZ$5,1,MATCH(CS$6,Responses!$1:$1,0)),1))))</f>
        <v>3</v>
      </c>
      <c r="CT10">
        <f>IF(INDEX(Responses!$A$5:$ZZ$5,1,MATCH(CT$6,Responses!$1:$1,0))&amp;""="","",IF(LEFT(INDEX(Responses!$A$5:$ZZ$5,1,MATCH(CT$6,Responses!$1:$1,0)),1)="N","NA",VALUE(LEFT(INDEX(Responses!$A$5:$ZZ$5,1,MATCH(CT$6,Responses!$1:$1,0)),1))))</f>
        <v>3</v>
      </c>
      <c r="CU10">
        <f>IF(INDEX(Responses!$A$5:$ZZ$5,1,MATCH(CU$6,Responses!$1:$1,0))&amp;""="","",IF(LEFT(INDEX(Responses!$A$5:$ZZ$5,1,MATCH(CU$6,Responses!$1:$1,0)),1)="N","NA",VALUE(LEFT(INDEX(Responses!$A$5:$ZZ$5,1,MATCH(CU$6,Responses!$1:$1,0)),1))))</f>
        <v>3</v>
      </c>
      <c r="CV10">
        <f>IF(INDEX(Responses!$A$5:$ZZ$5,1,MATCH(CV$6,Responses!$1:$1,0))&amp;""="","",IF(LEFT(INDEX(Responses!$A$5:$ZZ$5,1,MATCH(CV$6,Responses!$1:$1,0)),1)="N","NA",VALUE(LEFT(INDEX(Responses!$A$5:$ZZ$5,1,MATCH(CV$6,Responses!$1:$1,0)),1))))</f>
        <v>3</v>
      </c>
      <c r="CW10">
        <f>IF(INDEX(Responses!$A$5:$ZZ$5,1,MATCH(CW$6,Responses!$1:$1,0))&amp;""="","",IF(LEFT(INDEX(Responses!$A$5:$ZZ$5,1,MATCH(CW$6,Responses!$1:$1,0)),1)="N","NA",VALUE(LEFT(INDEX(Responses!$A$5:$ZZ$5,1,MATCH(CW$6,Responses!$1:$1,0)),1))))</f>
        <v>2</v>
      </c>
      <c r="CX10">
        <f>IF(INDEX(Responses!$A$5:$ZZ$5,1,MATCH(CX$6,Responses!$1:$1,0))&amp;""="","",IF(LEFT(INDEX(Responses!$A$5:$ZZ$5,1,MATCH(CX$6,Responses!$1:$1,0)),1)="N","NA",VALUE(LEFT(INDEX(Responses!$A$5:$ZZ$5,1,MATCH(CX$6,Responses!$1:$1,0)),1))))</f>
        <v>2</v>
      </c>
      <c r="CY10" t="str">
        <f>IF(INDEX(Responses!$A$5:$ZZ$5,1,MATCH(CY$6,Responses!$1:$1,0))&amp;""="","",IF(LEFT(INDEX(Responses!$A$5:$ZZ$5,1,MATCH(CY$6,Responses!$1:$1,0)),1)="N","NA",VALUE(LEFT(INDEX(Responses!$A$5:$ZZ$5,1,MATCH(CY$6,Responses!$1:$1,0)),1))))</f>
        <v>NA</v>
      </c>
      <c r="CZ10">
        <f>IF(INDEX(Responses!$A$5:$ZZ$5,1,MATCH(CZ$6,Responses!$1:$1,0))&amp;""="","",IF(LEFT(INDEX(Responses!$A$5:$ZZ$5,1,MATCH(CZ$6,Responses!$1:$1,0)),1)="N","NA",VALUE(LEFT(INDEX(Responses!$A$5:$ZZ$5,1,MATCH(CZ$6,Responses!$1:$1,0)),1))))</f>
        <v>2</v>
      </c>
      <c r="DA10">
        <f>IF(INDEX(Responses!$A$5:$ZZ$5,1,MATCH(DA$6,Responses!$1:$1,0))&amp;""="","",IF(LEFT(INDEX(Responses!$A$5:$ZZ$5,1,MATCH(DA$6,Responses!$1:$1,0)),1)="N","NA",VALUE(LEFT(INDEX(Responses!$A$5:$ZZ$5,1,MATCH(DA$6,Responses!$1:$1,0)),1))))</f>
        <v>3</v>
      </c>
      <c r="DB10" t="str">
        <f>IF(INDEX(Responses!$A$5:$ZZ$5,1,MATCH(DB$6,Responses!$1:$1,0))&amp;""="","",IF(LEFT(INDEX(Responses!$A$5:$ZZ$5,1,MATCH(DB$6,Responses!$1:$1,0)),1)="N","NA",VALUE(LEFT(INDEX(Responses!$A$5:$ZZ$5,1,MATCH(DB$6,Responses!$1:$1,0)),1))))</f>
        <v>NA</v>
      </c>
      <c r="DC10">
        <f>IF(INDEX(Responses!$A$5:$ZZ$5,1,MATCH(DC$6,Responses!$1:$1,0))&amp;""="","",IF(LEFT(INDEX(Responses!$A$5:$ZZ$5,1,MATCH(DC$6,Responses!$1:$1,0)),1)="N","NA",VALUE(LEFT(INDEX(Responses!$A$5:$ZZ$5,1,MATCH(DC$6,Responses!$1:$1,0)),1))))</f>
        <v>2</v>
      </c>
      <c r="DD10">
        <f>IF(INDEX(Responses!$A$5:$ZZ$5,1,MATCH(DD$6,Responses!$1:$1,0))&amp;""="","",IF(LEFT(INDEX(Responses!$A$5:$ZZ$5,1,MATCH(DD$6,Responses!$1:$1,0)),1)="N","NA",VALUE(LEFT(INDEX(Responses!$A$5:$ZZ$5,1,MATCH(DD$6,Responses!$1:$1,0)),1))))</f>
        <v>3</v>
      </c>
      <c r="DE10">
        <f>IF(INDEX(Responses!$A$5:$ZZ$5,1,MATCH(DE$6,Responses!$1:$1,0))&amp;""="","",IF(LEFT(INDEX(Responses!$A$5:$ZZ$5,1,MATCH(DE$6,Responses!$1:$1,0)),1)="N","NA",VALUE(LEFT(INDEX(Responses!$A$5:$ZZ$5,1,MATCH(DE$6,Responses!$1:$1,0)),1))))</f>
        <v>3</v>
      </c>
      <c r="DF10">
        <f>IF(INDEX(Responses!$A$5:$ZZ$5,1,MATCH(DF$6,Responses!$1:$1,0))&amp;""="","",IF(LEFT(INDEX(Responses!$A$5:$ZZ$5,1,MATCH(DF$6,Responses!$1:$1,0)),1)="N","NA",VALUE(LEFT(INDEX(Responses!$A$5:$ZZ$5,1,MATCH(DF$6,Responses!$1:$1,0)),1))))</f>
        <v>2</v>
      </c>
      <c r="DG10">
        <f>IF(INDEX(Responses!$A$5:$ZZ$5,1,MATCH(DG$6,Responses!$1:$1,0))&amp;""="","",IF(LEFT(INDEX(Responses!$A$5:$ZZ$5,1,MATCH(DG$6,Responses!$1:$1,0)),1)="N","NA",VALUE(LEFT(INDEX(Responses!$A$5:$ZZ$5,1,MATCH(DG$6,Responses!$1:$1,0)),1))))</f>
        <v>2</v>
      </c>
      <c r="DH10">
        <f>IF(INDEX(Responses!$A$5:$ZZ$5,1,MATCH(DH$6,Responses!$1:$1,0))&amp;""="","",IF(LEFT(INDEX(Responses!$A$5:$ZZ$5,1,MATCH(DH$6,Responses!$1:$1,0)),1)="N","NA",VALUE(LEFT(INDEX(Responses!$A$5:$ZZ$5,1,MATCH(DH$6,Responses!$1:$1,0)),1))))</f>
        <v>4</v>
      </c>
      <c r="DI10">
        <f>IF(INDEX(Responses!$A$5:$ZZ$5,1,MATCH(DI$6,Responses!$1:$1,0))&amp;""="","",IF(LEFT(INDEX(Responses!$A$5:$ZZ$5,1,MATCH(DI$6,Responses!$1:$1,0)),1)="N","NA",VALUE(LEFT(INDEX(Responses!$A$5:$ZZ$5,1,MATCH(DI$6,Responses!$1:$1,0)),1))))</f>
        <v>4</v>
      </c>
      <c r="DJ10">
        <f>IF(INDEX(Responses!$A$5:$ZZ$5,1,MATCH(DJ$6,Responses!$1:$1,0))&amp;""="","",IF(LEFT(INDEX(Responses!$A$5:$ZZ$5,1,MATCH(DJ$6,Responses!$1:$1,0)),1)="N","NA",VALUE(LEFT(INDEX(Responses!$A$5:$ZZ$5,1,MATCH(DJ$6,Responses!$1:$1,0)),1))))</f>
        <v>4</v>
      </c>
      <c r="DK10">
        <f>IF(INDEX(Responses!$A$5:$ZZ$5,1,MATCH(DK$6,Responses!$1:$1,0))&amp;""="","",IF(LEFT(INDEX(Responses!$A$5:$ZZ$5,1,MATCH(DK$6,Responses!$1:$1,0)),1)="N","NA",VALUE(LEFT(INDEX(Responses!$A$5:$ZZ$5,1,MATCH(DK$6,Responses!$1:$1,0)),1))))</f>
        <v>5</v>
      </c>
      <c r="DL10">
        <f>IF(INDEX(Responses!$A$5:$ZZ$5,1,MATCH(DL$6,Responses!$1:$1,0))&amp;""="","",IF(LEFT(INDEX(Responses!$A$5:$ZZ$5,1,MATCH(DL$6,Responses!$1:$1,0)),1)="N","NA",VALUE(LEFT(INDEX(Responses!$A$5:$ZZ$5,1,MATCH(DL$6,Responses!$1:$1,0)),1))))</f>
        <v>3</v>
      </c>
      <c r="DM10">
        <f>IF(INDEX(Responses!$A$5:$ZZ$5,1,MATCH(DM$6,Responses!$1:$1,0))&amp;""="","",IF(LEFT(INDEX(Responses!$A$5:$ZZ$5,1,MATCH(DM$6,Responses!$1:$1,0)),1)="N","NA",VALUE(LEFT(INDEX(Responses!$A$5:$ZZ$5,1,MATCH(DM$6,Responses!$1:$1,0)),1))))</f>
        <v>3</v>
      </c>
      <c r="DN10">
        <f>IF(INDEX(Responses!$A$5:$ZZ$5,1,MATCH(DN$6,Responses!$1:$1,0))&amp;""="","",IF(LEFT(INDEX(Responses!$A$5:$ZZ$5,1,MATCH(DN$6,Responses!$1:$1,0)),1)="N","NA",VALUE(LEFT(INDEX(Responses!$A$5:$ZZ$5,1,MATCH(DN$6,Responses!$1:$1,0)),1))))</f>
        <v>4</v>
      </c>
      <c r="DO10">
        <f>IF(INDEX(Responses!$A$5:$ZZ$5,1,MATCH(DO$6,Responses!$1:$1,0))&amp;""="","",IF(LEFT(INDEX(Responses!$A$5:$ZZ$5,1,MATCH(DO$6,Responses!$1:$1,0)),1)="N","NA",VALUE(LEFT(INDEX(Responses!$A$5:$ZZ$5,1,MATCH(DO$6,Responses!$1:$1,0)),1))))</f>
        <v>3</v>
      </c>
      <c r="DP10">
        <f>IF(INDEX(Responses!$A$5:$ZZ$5,1,MATCH(DP$6,Responses!$1:$1,0))&amp;""="","",IF(LEFT(INDEX(Responses!$A$5:$ZZ$5,1,MATCH(DP$6,Responses!$1:$1,0)),1)="N","NA",VALUE(LEFT(INDEX(Responses!$A$5:$ZZ$5,1,MATCH(DP$6,Responses!$1:$1,0)),1))))</f>
        <v>2</v>
      </c>
      <c r="DQ10">
        <f>IF(INDEX(Responses!$A$5:$ZZ$5,1,MATCH(DQ$6,Responses!$1:$1,0))&amp;""="","",IF(LEFT(INDEX(Responses!$A$5:$ZZ$5,1,MATCH(DQ$6,Responses!$1:$1,0)),1)="N","NA",VALUE(LEFT(INDEX(Responses!$A$5:$ZZ$5,1,MATCH(DQ$6,Responses!$1:$1,0)),1))))</f>
        <v>2</v>
      </c>
      <c r="DR10" t="str">
        <f>IF(INDEX(Responses!$A$5:$ZZ$5,1,MATCH(DR$6,Responses!$1:$1,0))&amp;""="","",IF(LEFT(INDEX(Responses!$A$5:$ZZ$5,1,MATCH(DR$6,Responses!$1:$1,0)),1)="N","NA",VALUE(LEFT(INDEX(Responses!$A$5:$ZZ$5,1,MATCH(DR$6,Responses!$1:$1,0)),1))))</f>
        <v>NA</v>
      </c>
      <c r="DS10">
        <f>IF(INDEX(Responses!$A$5:$ZZ$5,1,MATCH(DS$6,Responses!$1:$1,0))&amp;""="","",IF(LEFT(INDEX(Responses!$A$5:$ZZ$5,1,MATCH(DS$6,Responses!$1:$1,0)),1)="N","NA",VALUE(LEFT(INDEX(Responses!$A$5:$ZZ$5,1,MATCH(DS$6,Responses!$1:$1,0)),1))))</f>
        <v>2</v>
      </c>
      <c r="DT10">
        <f>IF(INDEX(Responses!$A$5:$ZZ$5,1,MATCH(DT$6,Responses!$1:$1,0))&amp;""="","",IF(LEFT(INDEX(Responses!$A$5:$ZZ$5,1,MATCH(DT$6,Responses!$1:$1,0)),1)="N","NA",VALUE(LEFT(INDEX(Responses!$A$5:$ZZ$5,1,MATCH(DT$6,Responses!$1:$1,0)),1))))</f>
        <v>3</v>
      </c>
      <c r="DU10" t="str">
        <f>IF(INDEX(Responses!$A$5:$ZZ$5,1,MATCH(DU$6,Responses!$1:$1,0))&amp;""="","",IF(LEFT(INDEX(Responses!$A$5:$ZZ$5,1,MATCH(DU$6,Responses!$1:$1,0)),1)="N","NA",VALUE(LEFT(INDEX(Responses!$A$5:$ZZ$5,1,MATCH(DU$6,Responses!$1:$1,0)),1))))</f>
        <v>NA</v>
      </c>
      <c r="DV10">
        <f>IF(INDEX(Responses!$A$5:$ZZ$5,1,MATCH(DV$6,Responses!$1:$1,0))&amp;""="","",IF(LEFT(INDEX(Responses!$A$5:$ZZ$5,1,MATCH(DV$6,Responses!$1:$1,0)),1)="N","NA",VALUE(LEFT(INDEX(Responses!$A$5:$ZZ$5,1,MATCH(DV$6,Responses!$1:$1,0)),1))))</f>
        <v>2</v>
      </c>
      <c r="DW10">
        <f>IF(INDEX(Responses!$A$5:$ZZ$5,1,MATCH(DW$6,Responses!$1:$1,0))&amp;""="","",IF(LEFT(INDEX(Responses!$A$5:$ZZ$5,1,MATCH(DW$6,Responses!$1:$1,0)),1)="N","NA",VALUE(LEFT(INDEX(Responses!$A$5:$ZZ$5,1,MATCH(DW$6,Responses!$1:$1,0)),1))))</f>
        <v>3</v>
      </c>
      <c r="DX10">
        <f>IF(INDEX(Responses!$A$5:$ZZ$5,1,MATCH(DX$6,Responses!$1:$1,0))&amp;""="","",IF(LEFT(INDEX(Responses!$A$5:$ZZ$5,1,MATCH(DX$6,Responses!$1:$1,0)),1)="N","NA",VALUE(LEFT(INDEX(Responses!$A$5:$ZZ$5,1,MATCH(DX$6,Responses!$1:$1,0)),1))))</f>
        <v>4</v>
      </c>
      <c r="DY10">
        <f>IF(INDEX(Responses!$A$5:$ZZ$5,1,MATCH(DY$6,Responses!$1:$1,0))&amp;""="","",IF(LEFT(INDEX(Responses!$A$5:$ZZ$5,1,MATCH(DY$6,Responses!$1:$1,0)),1)="N","NA",VALUE(LEFT(INDEX(Responses!$A$5:$ZZ$5,1,MATCH(DY$6,Responses!$1:$1,0)),1))))</f>
        <v>3</v>
      </c>
      <c r="DZ10">
        <f>IF(INDEX(Responses!$A$5:$ZZ$5,1,MATCH(DZ$6,Responses!$1:$1,0))&amp;""="","",IF(LEFT(INDEX(Responses!$A$5:$ZZ$5,1,MATCH(DZ$6,Responses!$1:$1,0)),1)="N","NA",VALUE(LEFT(INDEX(Responses!$A$5:$ZZ$5,1,MATCH(DZ$6,Responses!$1:$1,0)),1))))</f>
        <v>2</v>
      </c>
      <c r="EA10">
        <f>IF(INDEX(Responses!$A$5:$ZZ$5,1,MATCH(EA$6,Responses!$1:$1,0))&amp;""="","",IF(LEFT(INDEX(Responses!$A$5:$ZZ$5,1,MATCH(EA$6,Responses!$1:$1,0)),1)="N","NA",VALUE(LEFT(INDEX(Responses!$A$5:$ZZ$5,1,MATCH(EA$6,Responses!$1:$1,0)),1))))</f>
        <v>4</v>
      </c>
      <c r="EB10">
        <f>IF(INDEX(Responses!$A$5:$ZZ$5,1,MATCH(EB$6,Responses!$1:$1,0))&amp;""="","",IF(LEFT(INDEX(Responses!$A$5:$ZZ$5,1,MATCH(EB$6,Responses!$1:$1,0)),1)="N","NA",VALUE(LEFT(INDEX(Responses!$A$5:$ZZ$5,1,MATCH(EB$6,Responses!$1:$1,0)),1))))</f>
        <v>4</v>
      </c>
      <c r="EC10">
        <f>IF(INDEX(Responses!$A$5:$ZZ$5,1,MATCH(EC$6,Responses!$1:$1,0))&amp;""="","",IF(LEFT(INDEX(Responses!$A$5:$ZZ$5,1,MATCH(EC$6,Responses!$1:$1,0)),1)="N","NA",VALUE(LEFT(INDEX(Responses!$A$5:$ZZ$5,1,MATCH(EC$6,Responses!$1:$1,0)),1))))</f>
        <v>5</v>
      </c>
      <c r="ED10">
        <f>IF(INDEX(Responses!$A$5:$ZZ$5,1,MATCH(ED$6,Responses!$1:$1,0))&amp;""="","",IF(LEFT(INDEX(Responses!$A$5:$ZZ$5,1,MATCH(ED$6,Responses!$1:$1,0)),1)="N","NA",VALUE(LEFT(INDEX(Responses!$A$5:$ZZ$5,1,MATCH(ED$6,Responses!$1:$1,0)),1))))</f>
        <v>6</v>
      </c>
      <c r="EE10">
        <f>IF(INDEX(Responses!$A$5:$ZZ$5,1,MATCH(EE$6,Responses!$1:$1,0))&amp;""="","",IF(LEFT(INDEX(Responses!$A$5:$ZZ$5,1,MATCH(EE$6,Responses!$1:$1,0)),1)="N","NA",VALUE(LEFT(INDEX(Responses!$A$5:$ZZ$5,1,MATCH(EE$6,Responses!$1:$1,0)),1))))</f>
        <v>4</v>
      </c>
      <c r="EF10">
        <f>IF(INDEX(Responses!$A$5:$ZZ$5,1,MATCH(EF$6,Responses!$1:$1,0))&amp;""="","",IF(LEFT(INDEX(Responses!$A$5:$ZZ$5,1,MATCH(EF$6,Responses!$1:$1,0)),1)="N","NA",VALUE(LEFT(INDEX(Responses!$A$5:$ZZ$5,1,MATCH(EF$6,Responses!$1:$1,0)),1))))</f>
        <v>4</v>
      </c>
      <c r="EG10">
        <f>IF(INDEX(Responses!$A$5:$ZZ$5,1,MATCH(EG$6,Responses!$1:$1,0))&amp;""="","",IF(LEFT(INDEX(Responses!$A$5:$ZZ$5,1,MATCH(EG$6,Responses!$1:$1,0)),1)="N","NA",VALUE(LEFT(INDEX(Responses!$A$5:$ZZ$5,1,MATCH(EG$6,Responses!$1:$1,0)),1))))</f>
        <v>4</v>
      </c>
      <c r="EH10">
        <f>IF(INDEX(Responses!$A$5:$ZZ$5,1,MATCH(EH$6,Responses!$1:$1,0))&amp;""="","",IF(LEFT(INDEX(Responses!$A$5:$ZZ$5,1,MATCH(EH$6,Responses!$1:$1,0)),1)="N","NA",VALUE(LEFT(INDEX(Responses!$A$5:$ZZ$5,1,MATCH(EH$6,Responses!$1:$1,0)),1))))</f>
        <v>5</v>
      </c>
      <c r="EI10">
        <f>IF(INDEX(Responses!$A$5:$ZZ$5,1,MATCH(EI$6,Responses!$1:$1,0))&amp;""="","",IF(LEFT(INDEX(Responses!$A$5:$ZZ$5,1,MATCH(EI$6,Responses!$1:$1,0)),1)="N","NA",VALUE(LEFT(INDEX(Responses!$A$5:$ZZ$5,1,MATCH(EI$6,Responses!$1:$1,0)),1))))</f>
        <v>3</v>
      </c>
      <c r="EJ10">
        <f>IF(INDEX(Responses!$A$5:$ZZ$5,1,MATCH(EJ$6,Responses!$1:$1,0))&amp;""="","",IF(LEFT(INDEX(Responses!$A$5:$ZZ$5,1,MATCH(EJ$6,Responses!$1:$1,0)),1)="N","NA",VALUE(LEFT(INDEX(Responses!$A$5:$ZZ$5,1,MATCH(EJ$6,Responses!$1:$1,0)),1))))</f>
        <v>3</v>
      </c>
      <c r="EK10" t="str">
        <f>IF(INDEX(Responses!$A$5:$ZZ$5,1,MATCH(EK$6,Responses!$1:$1,0))&amp;""="","",IF(LEFT(INDEX(Responses!$A$5:$ZZ$5,1,MATCH(EK$6,Responses!$1:$1,0)),1)="N","NA",VALUE(LEFT(INDEX(Responses!$A$5:$ZZ$5,1,MATCH(EK$6,Responses!$1:$1,0)),1))))</f>
        <v>NA</v>
      </c>
      <c r="EL10">
        <f>IF(INDEX(Responses!$A$5:$ZZ$5,1,MATCH(EL$6,Responses!$1:$1,0))&amp;""="","",IF(LEFT(INDEX(Responses!$A$5:$ZZ$5,1,MATCH(EL$6,Responses!$1:$1,0)),1)="N","NA",VALUE(LEFT(INDEX(Responses!$A$5:$ZZ$5,1,MATCH(EL$6,Responses!$1:$1,0)),1))))</f>
        <v>3</v>
      </c>
      <c r="EM10">
        <f>IF(INDEX(Responses!$A$5:$ZZ$5,1,MATCH(EM$6,Responses!$1:$1,0))&amp;""="","",IF(LEFT(INDEX(Responses!$A$5:$ZZ$5,1,MATCH(EM$6,Responses!$1:$1,0)),1)="N","NA",VALUE(LEFT(INDEX(Responses!$A$5:$ZZ$5,1,MATCH(EM$6,Responses!$1:$1,0)),1))))</f>
        <v>4</v>
      </c>
      <c r="EN10" t="str">
        <f>IF(INDEX(Responses!$A$5:$ZZ$5,1,MATCH(EN$6,Responses!$1:$1,0))&amp;""="","",IF(LEFT(INDEX(Responses!$A$5:$ZZ$5,1,MATCH(EN$6,Responses!$1:$1,0)),1)="N","NA",VALUE(LEFT(INDEX(Responses!$A$5:$ZZ$5,1,MATCH(EN$6,Responses!$1:$1,0)),1))))</f>
        <v>NA</v>
      </c>
      <c r="EO10">
        <f>IF(INDEX(Responses!$A$5:$ZZ$5,1,MATCH(EO$6,Responses!$1:$1,0))&amp;""="","",IF(LEFT(INDEX(Responses!$A$5:$ZZ$5,1,MATCH(EO$6,Responses!$1:$1,0)),1)="N","NA",VALUE(LEFT(INDEX(Responses!$A$5:$ZZ$5,1,MATCH(EO$6,Responses!$1:$1,0)),1))))</f>
        <v>3</v>
      </c>
      <c r="EP10">
        <f>IF(INDEX(Responses!$A$5:$ZZ$5,1,MATCH(EP$6,Responses!$1:$1,0))&amp;""="","",IF(LEFT(INDEX(Responses!$A$5:$ZZ$5,1,MATCH(EP$6,Responses!$1:$1,0)),1)="N","NA",VALUE(LEFT(INDEX(Responses!$A$5:$ZZ$5,1,MATCH(EP$6,Responses!$1:$1,0)),1))))</f>
        <v>5</v>
      </c>
      <c r="EQ10">
        <f>IF(INDEX(Responses!$A$5:$ZZ$5,1,MATCH(EQ$6,Responses!$1:$1,0))&amp;""="","",IF(LEFT(INDEX(Responses!$A$5:$ZZ$5,1,MATCH(EQ$6,Responses!$1:$1,0)),1)="N","NA",VALUE(LEFT(INDEX(Responses!$A$5:$ZZ$5,1,MATCH(EQ$6,Responses!$1:$1,0)),1))))</f>
        <v>4</v>
      </c>
      <c r="ER10">
        <f>IF(INDEX(Responses!$A$5:$ZZ$5,1,MATCH(ER$6,Responses!$1:$1,0))&amp;""="","",IF(LEFT(INDEX(Responses!$A$5:$ZZ$5,1,MATCH(ER$6,Responses!$1:$1,0)),1)="N","NA",VALUE(LEFT(INDEX(Responses!$A$5:$ZZ$5,1,MATCH(ER$6,Responses!$1:$1,0)),1))))</f>
        <v>3</v>
      </c>
      <c r="ES10">
        <f>IF(INDEX(Responses!$A$5:$ZZ$5,1,MATCH(ES$6,Responses!$1:$1,0))&amp;""="","",IF(LEFT(INDEX(Responses!$A$5:$ZZ$5,1,MATCH(ES$6,Responses!$1:$1,0)),1)="N","NA",VALUE(LEFT(INDEX(Responses!$A$5:$ZZ$5,1,MATCH(ES$6,Responses!$1:$1,0)),1))))</f>
        <v>3</v>
      </c>
      <c r="ET10">
        <f>--ISNUMBER(SEARCH(INDEX(Items!$G:$G,MATCH(ET$1,Items!$A:$A,0)),INDEX(Responses!$A$5:$ZZ$5,1,MATCH(ET$6,Responses!$1:$1,0))))</f>
        <v>0</v>
      </c>
      <c r="EU10">
        <f>--ISNUMBER(SEARCH(INDEX(Items!$G:$G,MATCH(EU$1,Items!$A:$A,0)),INDEX(Responses!$A$5:$ZZ$5,1,MATCH(EU$6,Responses!$1:$1,0))))</f>
        <v>1</v>
      </c>
      <c r="EV10">
        <f>--ISNUMBER(SEARCH(INDEX(Items!$G:$G,MATCH(EV$1,Items!$A:$A,0)),INDEX(Responses!$A$5:$ZZ$5,1,MATCH(EV$6,Responses!$1:$1,0))))</f>
        <v>0</v>
      </c>
      <c r="EW10">
        <f>--ISNUMBER(SEARCH(INDEX(Items!$G:$G,MATCH(EW$1,Items!$A:$A,0)),INDEX(Responses!$A$5:$ZZ$5,1,MATCH(EW$6,Responses!$1:$1,0))))</f>
        <v>0</v>
      </c>
      <c r="EX10">
        <f>--ISNUMBER(SEARCH(INDEX(Items!$G:$G,MATCH(EX$1,Items!$A:$A,0)),INDEX(Responses!$A$5:$ZZ$5,1,MATCH(EX$6,Responses!$1:$1,0))))</f>
        <v>0</v>
      </c>
      <c r="EY10">
        <f>--ISNUMBER(SEARCH(INDEX(Items!$G:$G,MATCH(EY$1,Items!$A:$A,0)),INDEX(Responses!$A$5:$ZZ$5,1,MATCH(EY$6,Responses!$1:$1,0))))</f>
        <v>0</v>
      </c>
      <c r="EZ10">
        <f>--ISNUMBER(SEARCH(INDEX(Items!$G:$G,MATCH(EZ$1,Items!$A:$A,0)),INDEX(Responses!$A$5:$ZZ$5,1,MATCH(EZ$6,Responses!$1:$1,0))))</f>
        <v>0</v>
      </c>
      <c r="FA10">
        <f>--ISNUMBER(SEARCH(INDEX(Items!$G:$G,MATCH(FA$1,Items!$A:$A,0)),INDEX(Responses!$A$5:$ZZ$5,1,MATCH(FA$6,Responses!$1:$1,0))))</f>
        <v>0</v>
      </c>
      <c r="FB10">
        <f>--ISNUMBER(SEARCH(INDEX(Items!$G:$G,MATCH(FB$1,Items!$A:$A,0)),INDEX(Responses!$A$5:$ZZ$5,1,MATCH(FB$6,Responses!$1:$1,0))))</f>
        <v>1</v>
      </c>
      <c r="FC10">
        <f>--ISNUMBER(SEARCH(INDEX(Items!$G:$G,MATCH(FC$1,Items!$A:$A,0)),INDEX(Responses!$A$5:$ZZ$5,1,MATCH(FC$6,Responses!$1:$1,0))))</f>
        <v>1</v>
      </c>
      <c r="FD10">
        <f>--ISNUMBER(SEARCH(INDEX(Items!$G:$G,MATCH(FD$1,Items!$A:$A,0)),INDEX(Responses!$A$5:$ZZ$5,1,MATCH(FD$6,Responses!$1:$1,0))))</f>
        <v>0</v>
      </c>
      <c r="FE10">
        <f>--ISNUMBER(SEARCH(INDEX(Items!$G:$G,MATCH(FE$1,Items!$A:$A,0)),INDEX(Responses!$A$5:$ZZ$5,1,MATCH(FE$6,Responses!$1:$1,0))))</f>
        <v>0</v>
      </c>
      <c r="FF10">
        <f>--ISNUMBER(SEARCH(INDEX(Items!$G:$G,MATCH(FF$1,Items!$A:$A,0)),INDEX(Responses!$A$5:$ZZ$5,1,MATCH(FF$6,Responses!$1:$1,0))))</f>
        <v>0</v>
      </c>
      <c r="FG10">
        <f>--ISNUMBER(SEARCH(INDEX(Items!$G:$G,MATCH(FG$1,Items!$A:$A,0)),INDEX(Responses!$A$5:$ZZ$5,1,MATCH(FG$6,Responses!$1:$1,0))))</f>
        <v>0</v>
      </c>
      <c r="FH10">
        <f>--ISNUMBER(SEARCH(INDEX(Items!$G:$G,MATCH(FH$1,Items!$A:$A,0)),INDEX(Responses!$A$5:$ZZ$5,1,MATCH(FH$6,Responses!$1:$1,0))))</f>
        <v>0</v>
      </c>
      <c r="FI10">
        <f>--ISNUMBER(SEARCH(INDEX(Items!$G:$G,MATCH(FI$1,Items!$A:$A,0)),INDEX(Responses!$A$5:$ZZ$5,1,MATCH(FI$6,Responses!$1:$1,0))))</f>
        <v>1</v>
      </c>
      <c r="FJ10">
        <f>--ISNUMBER(SEARCH(INDEX(Items!$G:$G,MATCH(FJ$1,Items!$A:$A,0)),INDEX(Responses!$A$5:$ZZ$5,1,MATCH(FJ$6,Responses!$1:$1,0))))</f>
        <v>1</v>
      </c>
      <c r="FK10">
        <f>--ISNUMBER(SEARCH(INDEX(Items!$G:$G,MATCH(FK$1,Items!$A:$A,0)),INDEX(Responses!$A$5:$ZZ$5,1,MATCH(FK$6,Responses!$1:$1,0))))</f>
        <v>0</v>
      </c>
      <c r="FL10">
        <f>--ISNUMBER(SEARCH(INDEX(Items!$G:$G,MATCH(FL$1,Items!$A:$A,0)),INDEX(Responses!$A$5:$ZZ$5,1,MATCH(FL$6,Responses!$1:$1,0))))</f>
        <v>0</v>
      </c>
      <c r="FM10">
        <f>--ISNUMBER(SEARCH(INDEX(Items!$G:$G,MATCH(FM$1,Items!$A:$A,0)),INDEX(Responses!$A$5:$ZZ$5,1,MATCH(FM$6,Responses!$1:$1,0))))</f>
        <v>0</v>
      </c>
      <c r="FN10">
        <f>--ISNUMBER(SEARCH(INDEX(Items!$G:$G,MATCH(FN$1,Items!$A:$A,0)),INDEX(Responses!$A$5:$ZZ$5,1,MATCH(FN$6,Responses!$1:$1,0))))</f>
        <v>1</v>
      </c>
      <c r="FO10">
        <f>--ISNUMBER(SEARCH(INDEX(Items!$G:$G,MATCH(FO$1,Items!$A:$A,0)),INDEX(Responses!$A$5:$ZZ$5,1,MATCH(FO$6,Responses!$1:$1,0))))</f>
        <v>0</v>
      </c>
      <c r="FP10">
        <f>--ISNUMBER(SEARCH(INDEX(Items!$G:$G,MATCH(FP$1,Items!$A:$A,0)),INDEX(Responses!$A$5:$ZZ$5,1,MATCH(FP$6,Responses!$1:$1,0))))</f>
        <v>0</v>
      </c>
      <c r="FQ10">
        <f>--ISNUMBER(SEARCH(INDEX(Items!$G:$G,MATCH(FQ$1,Items!$A:$A,0)),INDEX(Responses!$A$5:$ZZ$5,1,MATCH(FQ$6,Responses!$1:$1,0))))</f>
        <v>0</v>
      </c>
      <c r="FR10">
        <f>--ISNUMBER(SEARCH(INDEX(Items!$G:$G,MATCH(FR$1,Items!$A:$A,0)),INDEX(Responses!$A$5:$ZZ$5,1,MATCH(FR$6,Responses!$1:$1,0))))</f>
        <v>1</v>
      </c>
      <c r="FS10">
        <f>--ISNUMBER(SEARCH(INDEX(Items!$G:$G,MATCH(FS$1,Items!$A:$A,0)),INDEX(Responses!$A$5:$ZZ$5,1,MATCH(FS$6,Responses!$1:$1,0))))</f>
        <v>1</v>
      </c>
      <c r="FT10">
        <f>--ISNUMBER(SEARCH(INDEX(Items!$G:$G,MATCH(FT$1,Items!$A:$A,0)),INDEX(Responses!$A$5:$ZZ$5,1,MATCH(FT$6,Responses!$1:$1,0))))</f>
        <v>0</v>
      </c>
      <c r="FU10">
        <f>--ISNUMBER(SEARCH(INDEX(Items!$G:$G,MATCH(FU$1,Items!$A:$A,0)),INDEX(Responses!$A$5:$ZZ$5,1,MATCH(FU$6,Responses!$1:$1,0))))</f>
        <v>0</v>
      </c>
    </row>
    <row r="11" spans="1:177" x14ac:dyDescent="0.45">
      <c r="A11" t="str">
        <f>Responses!$D$6</f>
        <v>Sofia Marchetti</v>
      </c>
      <c r="B11">
        <f>IF(INDEX(Responses!$A$6:$ZZ$6,1,MATCH(B$6,Responses!$1:$1,0))&amp;""="","",IF(LEFT(INDEX(Responses!$A$6:$ZZ$6,1,MATCH(B$6,Responses!$1:$1,0)),1)="N","NA",VALUE(LEFT(INDEX(Responses!$A$6:$ZZ$6,1,MATCH(B$6,Responses!$1:$1,0)),1))))</f>
        <v>3</v>
      </c>
      <c r="C11">
        <f>IF(INDEX(Responses!$A$6:$ZZ$6,1,MATCH(C$6,Responses!$1:$1,0))&amp;""="","",IF(LEFT(INDEX(Responses!$A$6:$ZZ$6,1,MATCH(C$6,Responses!$1:$1,0)),1)="N","NA",VALUE(LEFT(INDEX(Responses!$A$6:$ZZ$6,1,MATCH(C$6,Responses!$1:$1,0)),1))))</f>
        <v>1</v>
      </c>
      <c r="D11">
        <f>IF(INDEX(Responses!$A$6:$ZZ$6,1,MATCH(D$6,Responses!$1:$1,0))&amp;""="","",IF(LEFT(INDEX(Responses!$A$6:$ZZ$6,1,MATCH(D$6,Responses!$1:$1,0)),1)="N","NA",VALUE(LEFT(INDEX(Responses!$A$6:$ZZ$6,1,MATCH(D$6,Responses!$1:$1,0)),1))))</f>
        <v>4</v>
      </c>
      <c r="E11">
        <f>IF(INDEX(Responses!$A$6:$ZZ$6,1,MATCH(E$6,Responses!$1:$1,0))&amp;""="","",IF(LEFT(INDEX(Responses!$A$6:$ZZ$6,1,MATCH(E$6,Responses!$1:$1,0)),1)="N","NA",VALUE(LEFT(INDEX(Responses!$A$6:$ZZ$6,1,MATCH(E$6,Responses!$1:$1,0)),1))))</f>
        <v>2</v>
      </c>
      <c r="F11">
        <f>IF(INDEX(Responses!$A$6:$ZZ$6,1,MATCH(F$6,Responses!$1:$1,0))&amp;""="","",IF(LEFT(INDEX(Responses!$A$6:$ZZ$6,1,MATCH(F$6,Responses!$1:$1,0)),1)="N","NA",VALUE(LEFT(INDEX(Responses!$A$6:$ZZ$6,1,MATCH(F$6,Responses!$1:$1,0)),1))))</f>
        <v>1</v>
      </c>
      <c r="G11">
        <f>IF(INDEX(Responses!$A$6:$ZZ$6,1,MATCH(G$6,Responses!$1:$1,0))&amp;""="","",IF(LEFT(INDEX(Responses!$A$6:$ZZ$6,1,MATCH(G$6,Responses!$1:$1,0)),1)="N","NA",VALUE(LEFT(INDEX(Responses!$A$6:$ZZ$6,1,MATCH(G$6,Responses!$1:$1,0)),1))))</f>
        <v>2</v>
      </c>
      <c r="H11">
        <f>IF(INDEX(Responses!$A$6:$ZZ$6,1,MATCH(H$6,Responses!$1:$1,0))&amp;""="","",IF(LEFT(INDEX(Responses!$A$6:$ZZ$6,1,MATCH(H$6,Responses!$1:$1,0)),1)="N","NA",VALUE(LEFT(INDEX(Responses!$A$6:$ZZ$6,1,MATCH(H$6,Responses!$1:$1,0)),1))))</f>
        <v>3</v>
      </c>
      <c r="I11">
        <f>IF(INDEX(Responses!$A$6:$ZZ$6,1,MATCH(I$6,Responses!$1:$1,0))&amp;""="","",IF(LEFT(INDEX(Responses!$A$6:$ZZ$6,1,MATCH(I$6,Responses!$1:$1,0)),1)="N","NA",VALUE(LEFT(INDEX(Responses!$A$6:$ZZ$6,1,MATCH(I$6,Responses!$1:$1,0)),1))))</f>
        <v>3</v>
      </c>
      <c r="J11">
        <f>IF(INDEX(Responses!$A$6:$ZZ$6,1,MATCH(J$6,Responses!$1:$1,0))&amp;""="","",IF(LEFT(INDEX(Responses!$A$6:$ZZ$6,1,MATCH(J$6,Responses!$1:$1,0)),1)="N","NA",VALUE(LEFT(INDEX(Responses!$A$6:$ZZ$6,1,MATCH(J$6,Responses!$1:$1,0)),1))))</f>
        <v>3</v>
      </c>
      <c r="K11">
        <f>IF(INDEX(Responses!$A$6:$ZZ$6,1,MATCH(K$6,Responses!$1:$1,0))&amp;""="","",IF(LEFT(INDEX(Responses!$A$6:$ZZ$6,1,MATCH(K$6,Responses!$1:$1,0)),1)="N","NA",VALUE(LEFT(INDEX(Responses!$A$6:$ZZ$6,1,MATCH(K$6,Responses!$1:$1,0)),1))))</f>
        <v>4</v>
      </c>
      <c r="L11">
        <f>IF(INDEX(Responses!$A$6:$ZZ$6,1,MATCH(L$6,Responses!$1:$1,0))&amp;""="","",IF(LEFT(INDEX(Responses!$A$6:$ZZ$6,1,MATCH(L$6,Responses!$1:$1,0)),1)="N","NA",VALUE(LEFT(INDEX(Responses!$A$6:$ZZ$6,1,MATCH(L$6,Responses!$1:$1,0)),1))))</f>
        <v>3</v>
      </c>
      <c r="M11">
        <f>IF(INDEX(Responses!$A$6:$ZZ$6,1,MATCH(M$6,Responses!$1:$1,0))&amp;""="","",IF(LEFT(INDEX(Responses!$A$6:$ZZ$6,1,MATCH(M$6,Responses!$1:$1,0)),1)="N","NA",VALUE(LEFT(INDEX(Responses!$A$6:$ZZ$6,1,MATCH(M$6,Responses!$1:$1,0)),1))))</f>
        <v>3</v>
      </c>
      <c r="N11">
        <f>IF(INDEX(Responses!$A$6:$ZZ$6,1,MATCH(N$6,Responses!$1:$1,0))&amp;""="","",IF(LEFT(INDEX(Responses!$A$6:$ZZ$6,1,MATCH(N$6,Responses!$1:$1,0)),1)="N","NA",VALUE(LEFT(INDEX(Responses!$A$6:$ZZ$6,1,MATCH(N$6,Responses!$1:$1,0)),1))))</f>
        <v>4</v>
      </c>
      <c r="O11">
        <f>IF(INDEX(Responses!$A$6:$ZZ$6,1,MATCH(O$6,Responses!$1:$1,0))&amp;""="","",IF(LEFT(INDEX(Responses!$A$6:$ZZ$6,1,MATCH(O$6,Responses!$1:$1,0)),1)="N","NA",VALUE(LEFT(INDEX(Responses!$A$6:$ZZ$6,1,MATCH(O$6,Responses!$1:$1,0)),1))))</f>
        <v>4</v>
      </c>
      <c r="P11">
        <f>IF(INDEX(Responses!$A$6:$ZZ$6,1,MATCH(P$6,Responses!$1:$1,0))&amp;""="","",IF(LEFT(INDEX(Responses!$A$6:$ZZ$6,1,MATCH(P$6,Responses!$1:$1,0)),1)="N","NA",VALUE(LEFT(INDEX(Responses!$A$6:$ZZ$6,1,MATCH(P$6,Responses!$1:$1,0)),1))))</f>
        <v>3</v>
      </c>
      <c r="Q11">
        <f>IF(INDEX(Responses!$A$6:$ZZ$6,1,MATCH(Q$6,Responses!$1:$1,0))&amp;""="","",IF(LEFT(INDEX(Responses!$A$6:$ZZ$6,1,MATCH(Q$6,Responses!$1:$1,0)),1)="N","NA",VALUE(LEFT(INDEX(Responses!$A$6:$ZZ$6,1,MATCH(Q$6,Responses!$1:$1,0)),1))))</f>
        <v>3</v>
      </c>
      <c r="R11">
        <f>IF(INDEX(Responses!$A$6:$ZZ$6,1,MATCH(R$6,Responses!$1:$1,0))&amp;""="","",IF(LEFT(INDEX(Responses!$A$6:$ZZ$6,1,MATCH(R$6,Responses!$1:$1,0)),1)="N","NA",VALUE(LEFT(INDEX(Responses!$A$6:$ZZ$6,1,MATCH(R$6,Responses!$1:$1,0)),1))))</f>
        <v>3</v>
      </c>
      <c r="S11">
        <f>IF(INDEX(Responses!$A$6:$ZZ$6,1,MATCH(S$6,Responses!$1:$1,0))&amp;""="","",IF(LEFT(INDEX(Responses!$A$6:$ZZ$6,1,MATCH(S$6,Responses!$1:$1,0)),1)="N","NA",VALUE(LEFT(INDEX(Responses!$A$6:$ZZ$6,1,MATCH(S$6,Responses!$1:$1,0)),1))))</f>
        <v>2</v>
      </c>
      <c r="T11">
        <f>IF(INDEX(Responses!$A$6:$ZZ$6,1,MATCH(T$6,Responses!$1:$1,0))&amp;""="","",IF(LEFT(INDEX(Responses!$A$6:$ZZ$6,1,MATCH(T$6,Responses!$1:$1,0)),1)="N","NA",VALUE(LEFT(INDEX(Responses!$A$6:$ZZ$6,1,MATCH(T$6,Responses!$1:$1,0)),1))))</f>
        <v>4</v>
      </c>
      <c r="U11">
        <f>IF(INDEX(Responses!$A$6:$ZZ$6,1,MATCH(U$6,Responses!$1:$1,0))&amp;""="","",IF(LEFT(INDEX(Responses!$A$6:$ZZ$6,1,MATCH(U$6,Responses!$1:$1,0)),1)="N","NA",VALUE(LEFT(INDEX(Responses!$A$6:$ZZ$6,1,MATCH(U$6,Responses!$1:$1,0)),1))))</f>
        <v>4</v>
      </c>
      <c r="V11">
        <f>IF(INDEX(Responses!$A$6:$ZZ$6,1,MATCH(V$6,Responses!$1:$1,0))&amp;""="","",IF(LEFT(INDEX(Responses!$A$6:$ZZ$6,1,MATCH(V$6,Responses!$1:$1,0)),1)="N","NA",VALUE(LEFT(INDEX(Responses!$A$6:$ZZ$6,1,MATCH(V$6,Responses!$1:$1,0)),1))))</f>
        <v>4</v>
      </c>
      <c r="W11">
        <f>IF(INDEX(Responses!$A$6:$ZZ$6,1,MATCH(W$6,Responses!$1:$1,0))&amp;""="","",IF(LEFT(INDEX(Responses!$A$6:$ZZ$6,1,MATCH(W$6,Responses!$1:$1,0)),1)="N","NA",VALUE(LEFT(INDEX(Responses!$A$6:$ZZ$6,1,MATCH(W$6,Responses!$1:$1,0)),1))))</f>
        <v>2</v>
      </c>
      <c r="X11">
        <f>IF(INDEX(Responses!$A$6:$ZZ$6,1,MATCH(X$6,Responses!$1:$1,0))&amp;""="","",IF(LEFT(INDEX(Responses!$A$6:$ZZ$6,1,MATCH(X$6,Responses!$1:$1,0)),1)="N","NA",VALUE(LEFT(INDEX(Responses!$A$6:$ZZ$6,1,MATCH(X$6,Responses!$1:$1,0)),1))))</f>
        <v>3</v>
      </c>
      <c r="Y11">
        <f>IF(INDEX(Responses!$A$6:$ZZ$6,1,MATCH(Y$6,Responses!$1:$1,0))&amp;""="","",IF(LEFT(INDEX(Responses!$A$6:$ZZ$6,1,MATCH(Y$6,Responses!$1:$1,0)),1)="N","NA",VALUE(LEFT(INDEX(Responses!$A$6:$ZZ$6,1,MATCH(Y$6,Responses!$1:$1,0)),1))))</f>
        <v>2</v>
      </c>
      <c r="Z11">
        <f>IF(INDEX(Responses!$A$6:$ZZ$6,1,MATCH(Z$6,Responses!$1:$1,0))&amp;""="","",IF(LEFT(INDEX(Responses!$A$6:$ZZ$6,1,MATCH(Z$6,Responses!$1:$1,0)),1)="N","NA",VALUE(LEFT(INDEX(Responses!$A$6:$ZZ$6,1,MATCH(Z$6,Responses!$1:$1,0)),1))))</f>
        <v>2</v>
      </c>
      <c r="AA11">
        <f>IF(INDEX(Responses!$A$6:$ZZ$6,1,MATCH(AA$6,Responses!$1:$1,0))&amp;""="","",IF(LEFT(INDEX(Responses!$A$6:$ZZ$6,1,MATCH(AA$6,Responses!$1:$1,0)),1)="N","NA",VALUE(LEFT(INDEX(Responses!$A$6:$ZZ$6,1,MATCH(AA$6,Responses!$1:$1,0)),1))))</f>
        <v>3</v>
      </c>
      <c r="AB11">
        <f>IF(INDEX(Responses!$A$6:$ZZ$6,1,MATCH(AB$6,Responses!$1:$1,0))&amp;""="","",IF(LEFT(INDEX(Responses!$A$6:$ZZ$6,1,MATCH(AB$6,Responses!$1:$1,0)),1)="N","NA",VALUE(LEFT(INDEX(Responses!$A$6:$ZZ$6,1,MATCH(AB$6,Responses!$1:$1,0)),1))))</f>
        <v>3</v>
      </c>
      <c r="AC11">
        <f>IF(INDEX(Responses!$A$6:$ZZ$6,1,MATCH(AC$6,Responses!$1:$1,0))&amp;""="","",IF(LEFT(INDEX(Responses!$A$6:$ZZ$6,1,MATCH(AC$6,Responses!$1:$1,0)),1)="N","NA",VALUE(LEFT(INDEX(Responses!$A$6:$ZZ$6,1,MATCH(AC$6,Responses!$1:$1,0)),1))))</f>
        <v>2</v>
      </c>
      <c r="AD11">
        <f>IF(INDEX(Responses!$A$6:$ZZ$6,1,MATCH(AD$6,Responses!$1:$1,0))&amp;""="","",IF(LEFT(INDEX(Responses!$A$6:$ZZ$6,1,MATCH(AD$6,Responses!$1:$1,0)),1)="N","NA",VALUE(LEFT(INDEX(Responses!$A$6:$ZZ$6,1,MATCH(AD$6,Responses!$1:$1,0)),1))))</f>
        <v>2</v>
      </c>
      <c r="AE11">
        <f>IF(INDEX(Responses!$A$6:$ZZ$6,1,MATCH(AE$6,Responses!$1:$1,0))&amp;""="","",IF(LEFT(INDEX(Responses!$A$6:$ZZ$6,1,MATCH(AE$6,Responses!$1:$1,0)),1)="N","NA",VALUE(LEFT(INDEX(Responses!$A$6:$ZZ$6,1,MATCH(AE$6,Responses!$1:$1,0)),1))))</f>
        <v>3</v>
      </c>
      <c r="AF11">
        <f>IF(INDEX(Responses!$A$6:$ZZ$6,1,MATCH(AF$6,Responses!$1:$1,0))&amp;""="","",IF(LEFT(INDEX(Responses!$A$6:$ZZ$6,1,MATCH(AF$6,Responses!$1:$1,0)),1)="N","NA",VALUE(LEFT(INDEX(Responses!$A$6:$ZZ$6,1,MATCH(AF$6,Responses!$1:$1,0)),1))))</f>
        <v>4</v>
      </c>
      <c r="AG11">
        <f>IF(INDEX(Responses!$A$6:$ZZ$6,1,MATCH(AG$6,Responses!$1:$1,0))&amp;""="","",IF(LEFT(INDEX(Responses!$A$6:$ZZ$6,1,MATCH(AG$6,Responses!$1:$1,0)),1)="N","NA",VALUE(LEFT(INDEX(Responses!$A$6:$ZZ$6,1,MATCH(AG$6,Responses!$1:$1,0)),1))))</f>
        <v>4</v>
      </c>
      <c r="AH11">
        <f>IF(INDEX(Responses!$A$6:$ZZ$6,1,MATCH(AH$6,Responses!$1:$1,0))&amp;""="","",IF(LEFT(INDEX(Responses!$A$6:$ZZ$6,1,MATCH(AH$6,Responses!$1:$1,0)),1)="N","NA",VALUE(LEFT(INDEX(Responses!$A$6:$ZZ$6,1,MATCH(AH$6,Responses!$1:$1,0)),1))))</f>
        <v>4</v>
      </c>
      <c r="AI11">
        <f>IF(INDEX(Responses!$A$6:$ZZ$6,1,MATCH(AI$6,Responses!$1:$1,0))&amp;""="","",IF(LEFT(INDEX(Responses!$A$6:$ZZ$6,1,MATCH(AI$6,Responses!$1:$1,0)),1)="N","NA",VALUE(LEFT(INDEX(Responses!$A$6:$ZZ$6,1,MATCH(AI$6,Responses!$1:$1,0)),1))))</f>
        <v>2</v>
      </c>
      <c r="AJ11">
        <f>IF(INDEX(Responses!$A$6:$ZZ$6,1,MATCH(AJ$6,Responses!$1:$1,0))&amp;""="","",IF(LEFT(INDEX(Responses!$A$6:$ZZ$6,1,MATCH(AJ$6,Responses!$1:$1,0)),1)="N","NA",VALUE(LEFT(INDEX(Responses!$A$6:$ZZ$6,1,MATCH(AJ$6,Responses!$1:$1,0)),1))))</f>
        <v>3</v>
      </c>
      <c r="AK11">
        <f>IF(INDEX(Responses!$A$6:$ZZ$6,1,MATCH(AK$6,Responses!$1:$1,0))&amp;""="","",IF(LEFT(INDEX(Responses!$A$6:$ZZ$6,1,MATCH(AK$6,Responses!$1:$1,0)),1)="N","NA",VALUE(LEFT(INDEX(Responses!$A$6:$ZZ$6,1,MATCH(AK$6,Responses!$1:$1,0)),1))))</f>
        <v>4</v>
      </c>
      <c r="AL11">
        <f>IF(INDEX(Responses!$A$6:$ZZ$6,1,MATCH(AL$6,Responses!$1:$1,0))&amp;""="","",IF(LEFT(INDEX(Responses!$A$6:$ZZ$6,1,MATCH(AL$6,Responses!$1:$1,0)),1)="N","NA",VALUE(LEFT(INDEX(Responses!$A$6:$ZZ$6,1,MATCH(AL$6,Responses!$1:$1,0)),1))))</f>
        <v>3</v>
      </c>
      <c r="AM11">
        <f>IF(INDEX(Responses!$A$6:$ZZ$6,1,MATCH(AM$6,Responses!$1:$1,0))&amp;""="","",IF(LEFT(INDEX(Responses!$A$6:$ZZ$6,1,MATCH(AM$6,Responses!$1:$1,0)),1)="N","NA",VALUE(LEFT(INDEX(Responses!$A$6:$ZZ$6,1,MATCH(AM$6,Responses!$1:$1,0)),1))))</f>
        <v>4</v>
      </c>
      <c r="AN11">
        <f>IF(INDEX(Responses!$A$6:$ZZ$6,1,MATCH(AN$6,Responses!$1:$1,0))&amp;""="","",IF(LEFT(INDEX(Responses!$A$6:$ZZ$6,1,MATCH(AN$6,Responses!$1:$1,0)),1)="N","NA",VALUE(LEFT(INDEX(Responses!$A$6:$ZZ$6,1,MATCH(AN$6,Responses!$1:$1,0)),1))))</f>
        <v>3</v>
      </c>
      <c r="AO11">
        <f>IF(INDEX(Responses!$A$6:$ZZ$6,1,MATCH(AO$6,Responses!$1:$1,0))&amp;""="","",IF(LEFT(INDEX(Responses!$A$6:$ZZ$6,1,MATCH(AO$6,Responses!$1:$1,0)),1)="N","NA",VALUE(LEFT(INDEX(Responses!$A$6:$ZZ$6,1,MATCH(AO$6,Responses!$1:$1,0)),1))))</f>
        <v>4</v>
      </c>
      <c r="AP11">
        <f>IF(INDEX(Responses!$A$6:$ZZ$6,1,MATCH(AP$6,Responses!$1:$1,0))&amp;""="","",IF(LEFT(INDEX(Responses!$A$6:$ZZ$6,1,MATCH(AP$6,Responses!$1:$1,0)),1)="N","NA",VALUE(LEFT(INDEX(Responses!$A$6:$ZZ$6,1,MATCH(AP$6,Responses!$1:$1,0)),1))))</f>
        <v>3</v>
      </c>
      <c r="AQ11">
        <f>IF(INDEX(Responses!$A$6:$ZZ$6,1,MATCH(AQ$6,Responses!$1:$1,0))&amp;""="","",IF(LEFT(INDEX(Responses!$A$6:$ZZ$6,1,MATCH(AQ$6,Responses!$1:$1,0)),1)="N","NA",VALUE(LEFT(INDEX(Responses!$A$6:$ZZ$6,1,MATCH(AQ$6,Responses!$1:$1,0)),1))))</f>
        <v>3</v>
      </c>
      <c r="AR11">
        <f>IF(INDEX(Responses!$A$6:$ZZ$6,1,MATCH(AR$6,Responses!$1:$1,0))&amp;""="","",IF(LEFT(INDEX(Responses!$A$6:$ZZ$6,1,MATCH(AR$6,Responses!$1:$1,0)),1)="N","NA",VALUE(LEFT(INDEX(Responses!$A$6:$ZZ$6,1,MATCH(AR$6,Responses!$1:$1,0)),1))))</f>
        <v>2</v>
      </c>
      <c r="AS11">
        <f>IF(INDEX(Responses!$A$6:$ZZ$6,1,MATCH(AS$6,Responses!$1:$1,0))&amp;""="","",IF(LEFT(INDEX(Responses!$A$6:$ZZ$6,1,MATCH(AS$6,Responses!$1:$1,0)),1)="N","NA",VALUE(LEFT(INDEX(Responses!$A$6:$ZZ$6,1,MATCH(AS$6,Responses!$1:$1,0)),1))))</f>
        <v>2</v>
      </c>
      <c r="AT11">
        <f>IF(INDEX(Responses!$A$6:$ZZ$6,1,MATCH(AT$6,Responses!$1:$1,0))&amp;""="","",IF(LEFT(INDEX(Responses!$A$6:$ZZ$6,1,MATCH(AT$6,Responses!$1:$1,0)),1)="N","NA",VALUE(LEFT(INDEX(Responses!$A$6:$ZZ$6,1,MATCH(AT$6,Responses!$1:$1,0)),1))))</f>
        <v>3</v>
      </c>
      <c r="AU11">
        <f>IF(INDEX(Responses!$A$6:$ZZ$6,1,MATCH(AU$6,Responses!$1:$1,0))&amp;""="","",IF(LEFT(INDEX(Responses!$A$6:$ZZ$6,1,MATCH(AU$6,Responses!$1:$1,0)),1)="N","NA",VALUE(LEFT(INDEX(Responses!$A$6:$ZZ$6,1,MATCH(AU$6,Responses!$1:$1,0)),1))))</f>
        <v>2</v>
      </c>
      <c r="AV11">
        <f>IF(INDEX(Responses!$A$6:$ZZ$6,1,MATCH(AV$6,Responses!$1:$1,0))&amp;""="","",IF(LEFT(INDEX(Responses!$A$6:$ZZ$6,1,MATCH(AV$6,Responses!$1:$1,0)),1)="N","NA",VALUE(LEFT(INDEX(Responses!$A$6:$ZZ$6,1,MATCH(AV$6,Responses!$1:$1,0)),1))))</f>
        <v>4</v>
      </c>
      <c r="AW11">
        <f>IF(INDEX(Responses!$A$6:$ZZ$6,1,MATCH(AW$6,Responses!$1:$1,0))&amp;""="","",IF(LEFT(INDEX(Responses!$A$6:$ZZ$6,1,MATCH(AW$6,Responses!$1:$1,0)),1)="N","NA",VALUE(LEFT(INDEX(Responses!$A$6:$ZZ$6,1,MATCH(AW$6,Responses!$1:$1,0)),1))))</f>
        <v>3</v>
      </c>
      <c r="AX11">
        <f>IF(INDEX(Responses!$A$6:$ZZ$6,1,MATCH(AX$6,Responses!$1:$1,0))&amp;""="","",IF(LEFT(INDEX(Responses!$A$6:$ZZ$6,1,MATCH(AX$6,Responses!$1:$1,0)),1)="N","NA",VALUE(LEFT(INDEX(Responses!$A$6:$ZZ$6,1,MATCH(AX$6,Responses!$1:$1,0)),1))))</f>
        <v>3</v>
      </c>
      <c r="AY11">
        <f>IF(INDEX(Responses!$A$6:$ZZ$6,1,MATCH(AY$6,Responses!$1:$1,0))&amp;""="","",IF(LEFT(INDEX(Responses!$A$6:$ZZ$6,1,MATCH(AY$6,Responses!$1:$1,0)),1)="N","NA",VALUE(LEFT(INDEX(Responses!$A$6:$ZZ$6,1,MATCH(AY$6,Responses!$1:$1,0)),1))))</f>
        <v>4</v>
      </c>
      <c r="AZ11">
        <f>IF(INDEX(Responses!$A$6:$ZZ$6,1,MATCH(AZ$6,Responses!$1:$1,0))&amp;""="","",IF(LEFT(INDEX(Responses!$A$6:$ZZ$6,1,MATCH(AZ$6,Responses!$1:$1,0)),1)="N","NA",VALUE(LEFT(INDEX(Responses!$A$6:$ZZ$6,1,MATCH(AZ$6,Responses!$1:$1,0)),1))))</f>
        <v>3</v>
      </c>
      <c r="BA11">
        <f>IF(INDEX(Responses!$A$6:$ZZ$6,1,MATCH(BA$6,Responses!$1:$1,0))&amp;""="","",IF(LEFT(INDEX(Responses!$A$6:$ZZ$6,1,MATCH(BA$6,Responses!$1:$1,0)),1)="N","NA",VALUE(LEFT(INDEX(Responses!$A$6:$ZZ$6,1,MATCH(BA$6,Responses!$1:$1,0)),1))))</f>
        <v>4</v>
      </c>
      <c r="BB11">
        <f>IF(INDEX(Responses!$A$6:$ZZ$6,1,MATCH(BB$6,Responses!$1:$1,0))&amp;""="","",IF(LEFT(INDEX(Responses!$A$6:$ZZ$6,1,MATCH(BB$6,Responses!$1:$1,0)),1)="N","NA",VALUE(LEFT(INDEX(Responses!$A$6:$ZZ$6,1,MATCH(BB$6,Responses!$1:$1,0)),1))))</f>
        <v>2</v>
      </c>
      <c r="BC11">
        <f>IF(INDEX(Responses!$A$6:$ZZ$6,1,MATCH(BC$6,Responses!$1:$1,0))&amp;""="","",IF(LEFT(INDEX(Responses!$A$6:$ZZ$6,1,MATCH(BC$6,Responses!$1:$1,0)),1)="N","NA",VALUE(LEFT(INDEX(Responses!$A$6:$ZZ$6,1,MATCH(BC$6,Responses!$1:$1,0)),1))))</f>
        <v>3</v>
      </c>
      <c r="BD11">
        <f>IF(INDEX(Responses!$A$6:$ZZ$6,1,MATCH(BD$6,Responses!$1:$1,0))&amp;""="","",IF(LEFT(INDEX(Responses!$A$6:$ZZ$6,1,MATCH(BD$6,Responses!$1:$1,0)),1)="N","NA",VALUE(LEFT(INDEX(Responses!$A$6:$ZZ$6,1,MATCH(BD$6,Responses!$1:$1,0)),1))))</f>
        <v>3</v>
      </c>
      <c r="BE11">
        <f>IF(INDEX(Responses!$A$6:$ZZ$6,1,MATCH(BE$6,Responses!$1:$1,0))&amp;""="","",IF(LEFT(INDEX(Responses!$A$6:$ZZ$6,1,MATCH(BE$6,Responses!$1:$1,0)),1)="N","NA",VALUE(LEFT(INDEX(Responses!$A$6:$ZZ$6,1,MATCH(BE$6,Responses!$1:$1,0)),1))))</f>
        <v>3</v>
      </c>
      <c r="BF11">
        <f>IF(INDEX(Responses!$A$6:$ZZ$6,1,MATCH(BF$6,Responses!$1:$1,0))&amp;""="","",IF(LEFT(INDEX(Responses!$A$6:$ZZ$6,1,MATCH(BF$6,Responses!$1:$1,0)),1)="N","NA",VALUE(LEFT(INDEX(Responses!$A$6:$ZZ$6,1,MATCH(BF$6,Responses!$1:$1,0)),1))))</f>
        <v>1</v>
      </c>
      <c r="BG11">
        <f>IF(INDEX(Responses!$A$6:$ZZ$6,1,MATCH(BG$6,Responses!$1:$1,0))&amp;""="","",IF(LEFT(INDEX(Responses!$A$6:$ZZ$6,1,MATCH(BG$6,Responses!$1:$1,0)),1)="N","NA",VALUE(LEFT(INDEX(Responses!$A$6:$ZZ$6,1,MATCH(BG$6,Responses!$1:$1,0)),1))))</f>
        <v>3</v>
      </c>
      <c r="BH11">
        <f>IF(INDEX(Responses!$A$6:$ZZ$6,1,MATCH(BH$6,Responses!$1:$1,0))&amp;""="","",IF(LEFT(INDEX(Responses!$A$6:$ZZ$6,1,MATCH(BH$6,Responses!$1:$1,0)),1)="N","NA",VALUE(LEFT(INDEX(Responses!$A$6:$ZZ$6,1,MATCH(BH$6,Responses!$1:$1,0)),1))))</f>
        <v>3</v>
      </c>
      <c r="BI11">
        <f>IF(INDEX(Responses!$A$6:$ZZ$6,1,MATCH(BI$6,Responses!$1:$1,0))&amp;""="","",IF(LEFT(INDEX(Responses!$A$6:$ZZ$6,1,MATCH(BI$6,Responses!$1:$1,0)),1)="N","NA",VALUE(LEFT(INDEX(Responses!$A$6:$ZZ$6,1,MATCH(BI$6,Responses!$1:$1,0)),1))))</f>
        <v>3</v>
      </c>
      <c r="BJ11">
        <f>IF(INDEX(Responses!$A$6:$ZZ$6,1,MATCH(BJ$6,Responses!$1:$1,0))&amp;""="","",IF(LEFT(INDEX(Responses!$A$6:$ZZ$6,1,MATCH(BJ$6,Responses!$1:$1,0)),1)="N","NA",VALUE(LEFT(INDEX(Responses!$A$6:$ZZ$6,1,MATCH(BJ$6,Responses!$1:$1,0)),1))))</f>
        <v>2</v>
      </c>
      <c r="BK11">
        <f>IF(INDEX(Responses!$A$6:$ZZ$6,1,MATCH(BK$6,Responses!$1:$1,0))&amp;""="","",IF(LEFT(INDEX(Responses!$A$6:$ZZ$6,1,MATCH(BK$6,Responses!$1:$1,0)),1)="N","NA",VALUE(LEFT(INDEX(Responses!$A$6:$ZZ$6,1,MATCH(BK$6,Responses!$1:$1,0)),1))))</f>
        <v>4</v>
      </c>
      <c r="BL11">
        <f>IF(INDEX(Responses!$A$6:$ZZ$6,1,MATCH(BL$6,Responses!$1:$1,0))&amp;""="","",IF(LEFT(INDEX(Responses!$A$6:$ZZ$6,1,MATCH(BL$6,Responses!$1:$1,0)),1)="N","NA",VALUE(LEFT(INDEX(Responses!$A$6:$ZZ$6,1,MATCH(BL$6,Responses!$1:$1,0)),1))))</f>
        <v>4</v>
      </c>
      <c r="BM11">
        <f>IF(INDEX(Responses!$A$6:$ZZ$6,1,MATCH(BM$6,Responses!$1:$1,0))&amp;""="","",IF(LEFT(INDEX(Responses!$A$6:$ZZ$6,1,MATCH(BM$6,Responses!$1:$1,0)),1)="N","NA",VALUE(LEFT(INDEX(Responses!$A$6:$ZZ$6,1,MATCH(BM$6,Responses!$1:$1,0)),1))))</f>
        <v>3</v>
      </c>
      <c r="BN11">
        <f>IF(INDEX(Responses!$A$6:$ZZ$6,1,MATCH(BN$6,Responses!$1:$1,0))&amp;""="","",IF(LEFT(INDEX(Responses!$A$6:$ZZ$6,1,MATCH(BN$6,Responses!$1:$1,0)),1)="N","NA",VALUE(LEFT(INDEX(Responses!$A$6:$ZZ$6,1,MATCH(BN$6,Responses!$1:$1,0)),1))))</f>
        <v>3</v>
      </c>
      <c r="BO11">
        <f>IF(INDEX(Responses!$A$6:$ZZ$6,1,MATCH(BO$6,Responses!$1:$1,0))&amp;""="","",IF(LEFT(INDEX(Responses!$A$6:$ZZ$6,1,MATCH(BO$6,Responses!$1:$1,0)),1)="N","NA",VALUE(LEFT(INDEX(Responses!$A$6:$ZZ$6,1,MATCH(BO$6,Responses!$1:$1,0)),1))))</f>
        <v>4</v>
      </c>
      <c r="BP11">
        <f>IF(INDEX(Responses!$A$6:$ZZ$6,1,MATCH(BP$6,Responses!$1:$1,0))&amp;""="","",IF(LEFT(INDEX(Responses!$A$6:$ZZ$6,1,MATCH(BP$6,Responses!$1:$1,0)),1)="N","NA",VALUE(LEFT(INDEX(Responses!$A$6:$ZZ$6,1,MATCH(BP$6,Responses!$1:$1,0)),1))))</f>
        <v>4</v>
      </c>
      <c r="BQ11">
        <f>IF(INDEX(Responses!$A$6:$ZZ$6,1,MATCH(BQ$6,Responses!$1:$1,0))&amp;""="","",IF(LEFT(INDEX(Responses!$A$6:$ZZ$6,1,MATCH(BQ$6,Responses!$1:$1,0)),1)="N","NA",VALUE(LEFT(INDEX(Responses!$A$6:$ZZ$6,1,MATCH(BQ$6,Responses!$1:$1,0)),1))))</f>
        <v>4</v>
      </c>
      <c r="BR11">
        <f>IF(INDEX(Responses!$A$6:$ZZ$6,1,MATCH(BR$6,Responses!$1:$1,0))&amp;""="","",IF(LEFT(INDEX(Responses!$A$6:$ZZ$6,1,MATCH(BR$6,Responses!$1:$1,0)),1)="N","NA",VALUE(LEFT(INDEX(Responses!$A$6:$ZZ$6,1,MATCH(BR$6,Responses!$1:$1,0)),1))))</f>
        <v>3</v>
      </c>
      <c r="BS11">
        <f>IF(INDEX(Responses!$A$6:$ZZ$6,1,MATCH(BS$6,Responses!$1:$1,0))&amp;""="","",IF(LEFT(INDEX(Responses!$A$6:$ZZ$6,1,MATCH(BS$6,Responses!$1:$1,0)),1)="N","NA",VALUE(LEFT(INDEX(Responses!$A$6:$ZZ$6,1,MATCH(BS$6,Responses!$1:$1,0)),1))))</f>
        <v>4</v>
      </c>
      <c r="BT11">
        <f>IF(INDEX(Responses!$A$6:$ZZ$6,1,MATCH(BT$6,Responses!$1:$1,0))&amp;""="","",IF(LEFT(INDEX(Responses!$A$6:$ZZ$6,1,MATCH(BT$6,Responses!$1:$1,0)),1)="N","NA",VALUE(LEFT(INDEX(Responses!$A$6:$ZZ$6,1,MATCH(BT$6,Responses!$1:$1,0)),1))))</f>
        <v>4</v>
      </c>
      <c r="BU11">
        <f>IF(INDEX(Responses!$A$6:$ZZ$6,1,MATCH(BU$6,Responses!$1:$1,0))&amp;""="","",IF(LEFT(INDEX(Responses!$A$6:$ZZ$6,1,MATCH(BU$6,Responses!$1:$1,0)),1)="N","NA",VALUE(LEFT(INDEX(Responses!$A$6:$ZZ$6,1,MATCH(BU$6,Responses!$1:$1,0)),1))))</f>
        <v>3</v>
      </c>
      <c r="BV11">
        <f>IF(INDEX(Responses!$A$6:$ZZ$6,1,MATCH(BV$6,Responses!$1:$1,0))&amp;""="","",IF(LEFT(INDEX(Responses!$A$6:$ZZ$6,1,MATCH(BV$6,Responses!$1:$1,0)),1)="N","NA",VALUE(LEFT(INDEX(Responses!$A$6:$ZZ$6,1,MATCH(BV$6,Responses!$1:$1,0)),1))))</f>
        <v>2</v>
      </c>
      <c r="BW11">
        <f>IF(INDEX(Responses!$A$6:$ZZ$6,1,MATCH(BW$6,Responses!$1:$1,0))&amp;""="","",IF(LEFT(INDEX(Responses!$A$6:$ZZ$6,1,MATCH(BW$6,Responses!$1:$1,0)),1)="N","NA",VALUE(LEFT(INDEX(Responses!$A$6:$ZZ$6,1,MATCH(BW$6,Responses!$1:$1,0)),1))))</f>
        <v>2</v>
      </c>
      <c r="BX11">
        <f>IF(INDEX(Responses!$A$6:$ZZ$6,1,MATCH(BX$6,Responses!$1:$1,0))&amp;""="","",IF(LEFT(INDEX(Responses!$A$6:$ZZ$6,1,MATCH(BX$6,Responses!$1:$1,0)),1)="N","NA",VALUE(LEFT(INDEX(Responses!$A$6:$ZZ$6,1,MATCH(BX$6,Responses!$1:$1,0)),1))))</f>
        <v>2</v>
      </c>
      <c r="BY11">
        <f>IF(INDEX(Responses!$A$6:$ZZ$6,1,MATCH(BY$6,Responses!$1:$1,0))&amp;""="","",IF(LEFT(INDEX(Responses!$A$6:$ZZ$6,1,MATCH(BY$6,Responses!$1:$1,0)),1)="N","NA",VALUE(LEFT(INDEX(Responses!$A$6:$ZZ$6,1,MATCH(BY$6,Responses!$1:$1,0)),1))))</f>
        <v>1</v>
      </c>
      <c r="BZ11">
        <f>IF(INDEX(Responses!$A$6:$ZZ$6,1,MATCH(BZ$6,Responses!$1:$1,0))&amp;""="","",IF(LEFT(INDEX(Responses!$A$6:$ZZ$6,1,MATCH(BZ$6,Responses!$1:$1,0)),1)="N","NA",VALUE(LEFT(INDEX(Responses!$A$6:$ZZ$6,1,MATCH(BZ$6,Responses!$1:$1,0)),1))))</f>
        <v>4</v>
      </c>
      <c r="CA11">
        <f>IF(INDEX(Responses!$A$6:$ZZ$6,1,MATCH(CA$6,Responses!$1:$1,0))&amp;""="","",IF(LEFT(INDEX(Responses!$A$6:$ZZ$6,1,MATCH(CA$6,Responses!$1:$1,0)),1)="N","NA",VALUE(LEFT(INDEX(Responses!$A$6:$ZZ$6,1,MATCH(CA$6,Responses!$1:$1,0)),1))))</f>
        <v>3</v>
      </c>
      <c r="CB11">
        <f>IF(INDEX(Responses!$A$6:$ZZ$6,1,MATCH(CB$6,Responses!$1:$1,0))&amp;""="","",IF(LEFT(INDEX(Responses!$A$6:$ZZ$6,1,MATCH(CB$6,Responses!$1:$1,0)),1)="N","NA",VALUE(LEFT(INDEX(Responses!$A$6:$ZZ$6,1,MATCH(CB$6,Responses!$1:$1,0)),1))))</f>
        <v>3</v>
      </c>
      <c r="CC11">
        <f>IF(INDEX(Responses!$A$6:$ZZ$6,1,MATCH(CC$6,Responses!$1:$1,0))&amp;""="","",IF(LEFT(INDEX(Responses!$A$6:$ZZ$6,1,MATCH(CC$6,Responses!$1:$1,0)),1)="N","NA",VALUE(LEFT(INDEX(Responses!$A$6:$ZZ$6,1,MATCH(CC$6,Responses!$1:$1,0)),1))))</f>
        <v>4</v>
      </c>
      <c r="CD11">
        <f>IF(INDEX(Responses!$A$6:$ZZ$6,1,MATCH(CD$6,Responses!$1:$1,0))&amp;""="","",IF(LEFT(INDEX(Responses!$A$6:$ZZ$6,1,MATCH(CD$6,Responses!$1:$1,0)),1)="N","NA",VALUE(LEFT(INDEX(Responses!$A$6:$ZZ$6,1,MATCH(CD$6,Responses!$1:$1,0)),1))))</f>
        <v>4</v>
      </c>
      <c r="CE11">
        <f>IF(INDEX(Responses!$A$6:$ZZ$6,1,MATCH(CE$6,Responses!$1:$1,0))&amp;""="","",IF(LEFT(INDEX(Responses!$A$6:$ZZ$6,1,MATCH(CE$6,Responses!$1:$1,0)),1)="N","NA",VALUE(LEFT(INDEX(Responses!$A$6:$ZZ$6,1,MATCH(CE$6,Responses!$1:$1,0)),1))))</f>
        <v>3</v>
      </c>
      <c r="CF11">
        <f>IF(INDEX(Responses!$A$6:$ZZ$6,1,MATCH(CF$6,Responses!$1:$1,0))&amp;""="","",IF(LEFT(INDEX(Responses!$A$6:$ZZ$6,1,MATCH(CF$6,Responses!$1:$1,0)),1)="N","NA",VALUE(LEFT(INDEX(Responses!$A$6:$ZZ$6,1,MATCH(CF$6,Responses!$1:$1,0)),1))))</f>
        <v>1</v>
      </c>
      <c r="CG11">
        <f>IF(INDEX(Responses!$A$6:$ZZ$6,1,MATCH(CG$6,Responses!$1:$1,0))&amp;""="","",IF(LEFT(INDEX(Responses!$A$6:$ZZ$6,1,MATCH(CG$6,Responses!$1:$1,0)),1)="N","NA",VALUE(LEFT(INDEX(Responses!$A$6:$ZZ$6,1,MATCH(CG$6,Responses!$1:$1,0)),1))))</f>
        <v>3</v>
      </c>
      <c r="CH11">
        <f>IF(INDEX(Responses!$A$6:$ZZ$6,1,MATCH(CH$6,Responses!$1:$1,0))&amp;""="","",IF(LEFT(INDEX(Responses!$A$6:$ZZ$6,1,MATCH(CH$6,Responses!$1:$1,0)),1)="N","NA",VALUE(LEFT(INDEX(Responses!$A$6:$ZZ$6,1,MATCH(CH$6,Responses!$1:$1,0)),1))))</f>
        <v>3</v>
      </c>
      <c r="CI11">
        <f>IF(INDEX(Responses!$A$6:$ZZ$6,1,MATCH(CI$6,Responses!$1:$1,0))&amp;""="","",IF(LEFT(INDEX(Responses!$A$6:$ZZ$6,1,MATCH(CI$6,Responses!$1:$1,0)),1)="N","NA",VALUE(LEFT(INDEX(Responses!$A$6:$ZZ$6,1,MATCH(CI$6,Responses!$1:$1,0)),1))))</f>
        <v>3</v>
      </c>
      <c r="CJ11">
        <f>IF(INDEX(Responses!$A$6:$ZZ$6,1,MATCH(CJ$6,Responses!$1:$1,0))&amp;""="","",IF(LEFT(INDEX(Responses!$A$6:$ZZ$6,1,MATCH(CJ$6,Responses!$1:$1,0)),1)="N","NA",VALUE(LEFT(INDEX(Responses!$A$6:$ZZ$6,1,MATCH(CJ$6,Responses!$1:$1,0)),1))))</f>
        <v>2</v>
      </c>
      <c r="CK11">
        <f>IF(INDEX(Responses!$A$6:$ZZ$6,1,MATCH(CK$6,Responses!$1:$1,0))&amp;""="","",IF(LEFT(INDEX(Responses!$A$6:$ZZ$6,1,MATCH(CK$6,Responses!$1:$1,0)),1)="N","NA",VALUE(LEFT(INDEX(Responses!$A$6:$ZZ$6,1,MATCH(CK$6,Responses!$1:$1,0)),1))))</f>
        <v>3</v>
      </c>
      <c r="CL11">
        <f>IF(INDEX(Responses!$A$6:$ZZ$6,1,MATCH(CL$6,Responses!$1:$1,0))&amp;""="","",IF(LEFT(INDEX(Responses!$A$6:$ZZ$6,1,MATCH(CL$6,Responses!$1:$1,0)),1)="N","NA",VALUE(LEFT(INDEX(Responses!$A$6:$ZZ$6,1,MATCH(CL$6,Responses!$1:$1,0)),1))))</f>
        <v>3</v>
      </c>
      <c r="CM11">
        <f>IF(INDEX(Responses!$A$6:$ZZ$6,1,MATCH(CM$6,Responses!$1:$1,0))&amp;""="","",IF(LEFT(INDEX(Responses!$A$6:$ZZ$6,1,MATCH(CM$6,Responses!$1:$1,0)),1)="N","NA",VALUE(LEFT(INDEX(Responses!$A$6:$ZZ$6,1,MATCH(CM$6,Responses!$1:$1,0)),1))))</f>
        <v>3</v>
      </c>
      <c r="CN11">
        <f>IF(INDEX(Responses!$A$6:$ZZ$6,1,MATCH(CN$6,Responses!$1:$1,0))&amp;""="","",IF(LEFT(INDEX(Responses!$A$6:$ZZ$6,1,MATCH(CN$6,Responses!$1:$1,0)),1)="N","NA",VALUE(LEFT(INDEX(Responses!$A$6:$ZZ$6,1,MATCH(CN$6,Responses!$1:$1,0)),1))))</f>
        <v>2</v>
      </c>
      <c r="CO11">
        <f>IF(INDEX(Responses!$A$6:$ZZ$6,1,MATCH(CO$6,Responses!$1:$1,0))&amp;""="","",IF(LEFT(INDEX(Responses!$A$6:$ZZ$6,1,MATCH(CO$6,Responses!$1:$1,0)),1)="N","NA",VALUE(LEFT(INDEX(Responses!$A$6:$ZZ$6,1,MATCH(CO$6,Responses!$1:$1,0)),1))))</f>
        <v>4</v>
      </c>
      <c r="CP11">
        <f>IF(INDEX(Responses!$A$6:$ZZ$6,1,MATCH(CP$6,Responses!$1:$1,0))&amp;""="","",IF(LEFT(INDEX(Responses!$A$6:$ZZ$6,1,MATCH(CP$6,Responses!$1:$1,0)),1)="N","NA",VALUE(LEFT(INDEX(Responses!$A$6:$ZZ$6,1,MATCH(CP$6,Responses!$1:$1,0)),1))))</f>
        <v>3</v>
      </c>
      <c r="CQ11">
        <f>IF(INDEX(Responses!$A$6:$ZZ$6,1,MATCH(CQ$6,Responses!$1:$1,0))&amp;""="","",IF(LEFT(INDEX(Responses!$A$6:$ZZ$6,1,MATCH(CQ$6,Responses!$1:$1,0)),1)="N","NA",VALUE(LEFT(INDEX(Responses!$A$6:$ZZ$6,1,MATCH(CQ$6,Responses!$1:$1,0)),1))))</f>
        <v>3</v>
      </c>
      <c r="CR11">
        <f>IF(INDEX(Responses!$A$6:$ZZ$6,1,MATCH(CR$6,Responses!$1:$1,0))&amp;""="","",IF(LEFT(INDEX(Responses!$A$6:$ZZ$6,1,MATCH(CR$6,Responses!$1:$1,0)),1)="N","NA",VALUE(LEFT(INDEX(Responses!$A$6:$ZZ$6,1,MATCH(CR$6,Responses!$1:$1,0)),1))))</f>
        <v>2</v>
      </c>
      <c r="CS11">
        <f>IF(INDEX(Responses!$A$6:$ZZ$6,1,MATCH(CS$6,Responses!$1:$1,0))&amp;""="","",IF(LEFT(INDEX(Responses!$A$6:$ZZ$6,1,MATCH(CS$6,Responses!$1:$1,0)),1)="N","NA",VALUE(LEFT(INDEX(Responses!$A$6:$ZZ$6,1,MATCH(CS$6,Responses!$1:$1,0)),1))))</f>
        <v>2</v>
      </c>
      <c r="CT11">
        <f>IF(INDEX(Responses!$A$6:$ZZ$6,1,MATCH(CT$6,Responses!$1:$1,0))&amp;""="","",IF(LEFT(INDEX(Responses!$A$6:$ZZ$6,1,MATCH(CT$6,Responses!$1:$1,0)),1)="N","NA",VALUE(LEFT(INDEX(Responses!$A$6:$ZZ$6,1,MATCH(CT$6,Responses!$1:$1,0)),1))))</f>
        <v>3</v>
      </c>
      <c r="CU11">
        <f>IF(INDEX(Responses!$A$6:$ZZ$6,1,MATCH(CU$6,Responses!$1:$1,0))&amp;""="","",IF(LEFT(INDEX(Responses!$A$6:$ZZ$6,1,MATCH(CU$6,Responses!$1:$1,0)),1)="N","NA",VALUE(LEFT(INDEX(Responses!$A$6:$ZZ$6,1,MATCH(CU$6,Responses!$1:$1,0)),1))))</f>
        <v>3</v>
      </c>
      <c r="CV11">
        <f>IF(INDEX(Responses!$A$6:$ZZ$6,1,MATCH(CV$6,Responses!$1:$1,0))&amp;""="","",IF(LEFT(INDEX(Responses!$A$6:$ZZ$6,1,MATCH(CV$6,Responses!$1:$1,0)),1)="N","NA",VALUE(LEFT(INDEX(Responses!$A$6:$ZZ$6,1,MATCH(CV$6,Responses!$1:$1,0)),1))))</f>
        <v>3</v>
      </c>
      <c r="CW11">
        <f>IF(INDEX(Responses!$A$6:$ZZ$6,1,MATCH(CW$6,Responses!$1:$1,0))&amp;""="","",IF(LEFT(INDEX(Responses!$A$6:$ZZ$6,1,MATCH(CW$6,Responses!$1:$1,0)),1)="N","NA",VALUE(LEFT(INDEX(Responses!$A$6:$ZZ$6,1,MATCH(CW$6,Responses!$1:$1,0)),1))))</f>
        <v>3</v>
      </c>
      <c r="CX11" t="str">
        <f>IF(INDEX(Responses!$A$6:$ZZ$6,1,MATCH(CX$6,Responses!$1:$1,0))&amp;""="","",IF(LEFT(INDEX(Responses!$A$6:$ZZ$6,1,MATCH(CX$6,Responses!$1:$1,0)),1)="N","NA",VALUE(LEFT(INDEX(Responses!$A$6:$ZZ$6,1,MATCH(CX$6,Responses!$1:$1,0)),1))))</f>
        <v>NA</v>
      </c>
      <c r="CY11">
        <f>IF(INDEX(Responses!$A$6:$ZZ$6,1,MATCH(CY$6,Responses!$1:$1,0))&amp;""="","",IF(LEFT(INDEX(Responses!$A$6:$ZZ$6,1,MATCH(CY$6,Responses!$1:$1,0)),1)="N","NA",VALUE(LEFT(INDEX(Responses!$A$6:$ZZ$6,1,MATCH(CY$6,Responses!$1:$1,0)),1))))</f>
        <v>3</v>
      </c>
      <c r="CZ11">
        <f>IF(INDEX(Responses!$A$6:$ZZ$6,1,MATCH(CZ$6,Responses!$1:$1,0))&amp;""="","",IF(LEFT(INDEX(Responses!$A$6:$ZZ$6,1,MATCH(CZ$6,Responses!$1:$1,0)),1)="N","NA",VALUE(LEFT(INDEX(Responses!$A$6:$ZZ$6,1,MATCH(CZ$6,Responses!$1:$1,0)),1))))</f>
        <v>3</v>
      </c>
      <c r="DA11">
        <f>IF(INDEX(Responses!$A$6:$ZZ$6,1,MATCH(DA$6,Responses!$1:$1,0))&amp;""="","",IF(LEFT(INDEX(Responses!$A$6:$ZZ$6,1,MATCH(DA$6,Responses!$1:$1,0)),1)="N","NA",VALUE(LEFT(INDEX(Responses!$A$6:$ZZ$6,1,MATCH(DA$6,Responses!$1:$1,0)),1))))</f>
        <v>2</v>
      </c>
      <c r="DB11" t="str">
        <f>IF(INDEX(Responses!$A$6:$ZZ$6,1,MATCH(DB$6,Responses!$1:$1,0))&amp;""="","",IF(LEFT(INDEX(Responses!$A$6:$ZZ$6,1,MATCH(DB$6,Responses!$1:$1,0)),1)="N","NA",VALUE(LEFT(INDEX(Responses!$A$6:$ZZ$6,1,MATCH(DB$6,Responses!$1:$1,0)),1))))</f>
        <v>NA</v>
      </c>
      <c r="DC11">
        <f>IF(INDEX(Responses!$A$6:$ZZ$6,1,MATCH(DC$6,Responses!$1:$1,0))&amp;""="","",IF(LEFT(INDEX(Responses!$A$6:$ZZ$6,1,MATCH(DC$6,Responses!$1:$1,0)),1)="N","NA",VALUE(LEFT(INDEX(Responses!$A$6:$ZZ$6,1,MATCH(DC$6,Responses!$1:$1,0)),1))))</f>
        <v>2</v>
      </c>
      <c r="DD11">
        <f>IF(INDEX(Responses!$A$6:$ZZ$6,1,MATCH(DD$6,Responses!$1:$1,0))&amp;""="","",IF(LEFT(INDEX(Responses!$A$6:$ZZ$6,1,MATCH(DD$6,Responses!$1:$1,0)),1)="N","NA",VALUE(LEFT(INDEX(Responses!$A$6:$ZZ$6,1,MATCH(DD$6,Responses!$1:$1,0)),1))))</f>
        <v>3</v>
      </c>
      <c r="DE11">
        <f>IF(INDEX(Responses!$A$6:$ZZ$6,1,MATCH(DE$6,Responses!$1:$1,0))&amp;""="","",IF(LEFT(INDEX(Responses!$A$6:$ZZ$6,1,MATCH(DE$6,Responses!$1:$1,0)),1)="N","NA",VALUE(LEFT(INDEX(Responses!$A$6:$ZZ$6,1,MATCH(DE$6,Responses!$1:$1,0)),1))))</f>
        <v>3</v>
      </c>
      <c r="DF11">
        <f>IF(INDEX(Responses!$A$6:$ZZ$6,1,MATCH(DF$6,Responses!$1:$1,0))&amp;""="","",IF(LEFT(INDEX(Responses!$A$6:$ZZ$6,1,MATCH(DF$6,Responses!$1:$1,0)),1)="N","NA",VALUE(LEFT(INDEX(Responses!$A$6:$ZZ$6,1,MATCH(DF$6,Responses!$1:$1,0)),1))))</f>
        <v>2</v>
      </c>
      <c r="DG11">
        <f>IF(INDEX(Responses!$A$6:$ZZ$6,1,MATCH(DG$6,Responses!$1:$1,0))&amp;""="","",IF(LEFT(INDEX(Responses!$A$6:$ZZ$6,1,MATCH(DG$6,Responses!$1:$1,0)),1)="N","NA",VALUE(LEFT(INDEX(Responses!$A$6:$ZZ$6,1,MATCH(DG$6,Responses!$1:$1,0)),1))))</f>
        <v>3</v>
      </c>
      <c r="DH11">
        <f>IF(INDEX(Responses!$A$6:$ZZ$6,1,MATCH(DH$6,Responses!$1:$1,0))&amp;""="","",IF(LEFT(INDEX(Responses!$A$6:$ZZ$6,1,MATCH(DH$6,Responses!$1:$1,0)),1)="N","NA",VALUE(LEFT(INDEX(Responses!$A$6:$ZZ$6,1,MATCH(DH$6,Responses!$1:$1,0)),1))))</f>
        <v>6</v>
      </c>
      <c r="DI11">
        <f>IF(INDEX(Responses!$A$6:$ZZ$6,1,MATCH(DI$6,Responses!$1:$1,0))&amp;""="","",IF(LEFT(INDEX(Responses!$A$6:$ZZ$6,1,MATCH(DI$6,Responses!$1:$1,0)),1)="N","NA",VALUE(LEFT(INDEX(Responses!$A$6:$ZZ$6,1,MATCH(DI$6,Responses!$1:$1,0)),1))))</f>
        <v>5</v>
      </c>
      <c r="DJ11">
        <f>IF(INDEX(Responses!$A$6:$ZZ$6,1,MATCH(DJ$6,Responses!$1:$1,0))&amp;""="","",IF(LEFT(INDEX(Responses!$A$6:$ZZ$6,1,MATCH(DJ$6,Responses!$1:$1,0)),1)="N","NA",VALUE(LEFT(INDEX(Responses!$A$6:$ZZ$6,1,MATCH(DJ$6,Responses!$1:$1,0)),1))))</f>
        <v>4</v>
      </c>
      <c r="DK11">
        <f>IF(INDEX(Responses!$A$6:$ZZ$6,1,MATCH(DK$6,Responses!$1:$1,0))&amp;""="","",IF(LEFT(INDEX(Responses!$A$6:$ZZ$6,1,MATCH(DK$6,Responses!$1:$1,0)),1)="N","NA",VALUE(LEFT(INDEX(Responses!$A$6:$ZZ$6,1,MATCH(DK$6,Responses!$1:$1,0)),1))))</f>
        <v>3</v>
      </c>
      <c r="DL11">
        <f>IF(INDEX(Responses!$A$6:$ZZ$6,1,MATCH(DL$6,Responses!$1:$1,0))&amp;""="","",IF(LEFT(INDEX(Responses!$A$6:$ZZ$6,1,MATCH(DL$6,Responses!$1:$1,0)),1)="N","NA",VALUE(LEFT(INDEX(Responses!$A$6:$ZZ$6,1,MATCH(DL$6,Responses!$1:$1,0)),1))))</f>
        <v>3</v>
      </c>
      <c r="DM11">
        <f>IF(INDEX(Responses!$A$6:$ZZ$6,1,MATCH(DM$6,Responses!$1:$1,0))&amp;""="","",IF(LEFT(INDEX(Responses!$A$6:$ZZ$6,1,MATCH(DM$6,Responses!$1:$1,0)),1)="N","NA",VALUE(LEFT(INDEX(Responses!$A$6:$ZZ$6,1,MATCH(DM$6,Responses!$1:$1,0)),1))))</f>
        <v>4</v>
      </c>
      <c r="DN11">
        <f>IF(INDEX(Responses!$A$6:$ZZ$6,1,MATCH(DN$6,Responses!$1:$1,0))&amp;""="","",IF(LEFT(INDEX(Responses!$A$6:$ZZ$6,1,MATCH(DN$6,Responses!$1:$1,0)),1)="N","NA",VALUE(LEFT(INDEX(Responses!$A$6:$ZZ$6,1,MATCH(DN$6,Responses!$1:$1,0)),1))))</f>
        <v>4</v>
      </c>
      <c r="DO11">
        <f>IF(INDEX(Responses!$A$6:$ZZ$6,1,MATCH(DO$6,Responses!$1:$1,0))&amp;""="","",IF(LEFT(INDEX(Responses!$A$6:$ZZ$6,1,MATCH(DO$6,Responses!$1:$1,0)),1)="N","NA",VALUE(LEFT(INDEX(Responses!$A$6:$ZZ$6,1,MATCH(DO$6,Responses!$1:$1,0)),1))))</f>
        <v>4</v>
      </c>
      <c r="DP11">
        <f>IF(INDEX(Responses!$A$6:$ZZ$6,1,MATCH(DP$6,Responses!$1:$1,0))&amp;""="","",IF(LEFT(INDEX(Responses!$A$6:$ZZ$6,1,MATCH(DP$6,Responses!$1:$1,0)),1)="N","NA",VALUE(LEFT(INDEX(Responses!$A$6:$ZZ$6,1,MATCH(DP$6,Responses!$1:$1,0)),1))))</f>
        <v>4</v>
      </c>
      <c r="DQ11" t="str">
        <f>IF(INDEX(Responses!$A$6:$ZZ$6,1,MATCH(DQ$6,Responses!$1:$1,0))&amp;""="","",IF(LEFT(INDEX(Responses!$A$6:$ZZ$6,1,MATCH(DQ$6,Responses!$1:$1,0)),1)="N","NA",VALUE(LEFT(INDEX(Responses!$A$6:$ZZ$6,1,MATCH(DQ$6,Responses!$1:$1,0)),1))))</f>
        <v>NA</v>
      </c>
      <c r="DR11">
        <f>IF(INDEX(Responses!$A$6:$ZZ$6,1,MATCH(DR$6,Responses!$1:$1,0))&amp;""="","",IF(LEFT(INDEX(Responses!$A$6:$ZZ$6,1,MATCH(DR$6,Responses!$1:$1,0)),1)="N","NA",VALUE(LEFT(INDEX(Responses!$A$6:$ZZ$6,1,MATCH(DR$6,Responses!$1:$1,0)),1))))</f>
        <v>4</v>
      </c>
      <c r="DS11">
        <f>IF(INDEX(Responses!$A$6:$ZZ$6,1,MATCH(DS$6,Responses!$1:$1,0))&amp;""="","",IF(LEFT(INDEX(Responses!$A$6:$ZZ$6,1,MATCH(DS$6,Responses!$1:$1,0)),1)="N","NA",VALUE(LEFT(INDEX(Responses!$A$6:$ZZ$6,1,MATCH(DS$6,Responses!$1:$1,0)),1))))</f>
        <v>4</v>
      </c>
      <c r="DT11">
        <f>IF(INDEX(Responses!$A$6:$ZZ$6,1,MATCH(DT$6,Responses!$1:$1,0))&amp;""="","",IF(LEFT(INDEX(Responses!$A$6:$ZZ$6,1,MATCH(DT$6,Responses!$1:$1,0)),1)="N","NA",VALUE(LEFT(INDEX(Responses!$A$6:$ZZ$6,1,MATCH(DT$6,Responses!$1:$1,0)),1))))</f>
        <v>3</v>
      </c>
      <c r="DU11">
        <f>IF(INDEX(Responses!$A$6:$ZZ$6,1,MATCH(DU$6,Responses!$1:$1,0))&amp;""="","",IF(LEFT(INDEX(Responses!$A$6:$ZZ$6,1,MATCH(DU$6,Responses!$1:$1,0)),1)="N","NA",VALUE(LEFT(INDEX(Responses!$A$6:$ZZ$6,1,MATCH(DU$6,Responses!$1:$1,0)),1))))</f>
        <v>3</v>
      </c>
      <c r="DV11">
        <f>IF(INDEX(Responses!$A$6:$ZZ$6,1,MATCH(DV$6,Responses!$1:$1,0))&amp;""="","",IF(LEFT(INDEX(Responses!$A$6:$ZZ$6,1,MATCH(DV$6,Responses!$1:$1,0)),1)="N","NA",VALUE(LEFT(INDEX(Responses!$A$6:$ZZ$6,1,MATCH(DV$6,Responses!$1:$1,0)),1))))</f>
        <v>3</v>
      </c>
      <c r="DW11">
        <f>IF(INDEX(Responses!$A$6:$ZZ$6,1,MATCH(DW$6,Responses!$1:$1,0))&amp;""="","",IF(LEFT(INDEX(Responses!$A$6:$ZZ$6,1,MATCH(DW$6,Responses!$1:$1,0)),1)="N","NA",VALUE(LEFT(INDEX(Responses!$A$6:$ZZ$6,1,MATCH(DW$6,Responses!$1:$1,0)),1))))</f>
        <v>5</v>
      </c>
      <c r="DX11">
        <f>IF(INDEX(Responses!$A$6:$ZZ$6,1,MATCH(DX$6,Responses!$1:$1,0))&amp;""="","",IF(LEFT(INDEX(Responses!$A$6:$ZZ$6,1,MATCH(DX$6,Responses!$1:$1,0)),1)="N","NA",VALUE(LEFT(INDEX(Responses!$A$6:$ZZ$6,1,MATCH(DX$6,Responses!$1:$1,0)),1))))</f>
        <v>4</v>
      </c>
      <c r="DY11">
        <f>IF(INDEX(Responses!$A$6:$ZZ$6,1,MATCH(DY$6,Responses!$1:$1,0))&amp;""="","",IF(LEFT(INDEX(Responses!$A$6:$ZZ$6,1,MATCH(DY$6,Responses!$1:$1,0)),1)="N","NA",VALUE(LEFT(INDEX(Responses!$A$6:$ZZ$6,1,MATCH(DY$6,Responses!$1:$1,0)),1))))</f>
        <v>3</v>
      </c>
      <c r="DZ11">
        <f>IF(INDEX(Responses!$A$6:$ZZ$6,1,MATCH(DZ$6,Responses!$1:$1,0))&amp;""="","",IF(LEFT(INDEX(Responses!$A$6:$ZZ$6,1,MATCH(DZ$6,Responses!$1:$1,0)),1)="N","NA",VALUE(LEFT(INDEX(Responses!$A$6:$ZZ$6,1,MATCH(DZ$6,Responses!$1:$1,0)),1))))</f>
        <v>5</v>
      </c>
      <c r="EA11">
        <f>IF(INDEX(Responses!$A$6:$ZZ$6,1,MATCH(EA$6,Responses!$1:$1,0))&amp;""="","",IF(LEFT(INDEX(Responses!$A$6:$ZZ$6,1,MATCH(EA$6,Responses!$1:$1,0)),1)="N","NA",VALUE(LEFT(INDEX(Responses!$A$6:$ZZ$6,1,MATCH(EA$6,Responses!$1:$1,0)),1))))</f>
        <v>5</v>
      </c>
      <c r="EB11">
        <f>IF(INDEX(Responses!$A$6:$ZZ$6,1,MATCH(EB$6,Responses!$1:$1,0))&amp;""="","",IF(LEFT(INDEX(Responses!$A$6:$ZZ$6,1,MATCH(EB$6,Responses!$1:$1,0)),1)="N","NA",VALUE(LEFT(INDEX(Responses!$A$6:$ZZ$6,1,MATCH(EB$6,Responses!$1:$1,0)),1))))</f>
        <v>4</v>
      </c>
      <c r="EC11">
        <f>IF(INDEX(Responses!$A$6:$ZZ$6,1,MATCH(EC$6,Responses!$1:$1,0))&amp;""="","",IF(LEFT(INDEX(Responses!$A$6:$ZZ$6,1,MATCH(EC$6,Responses!$1:$1,0)),1)="N","NA",VALUE(LEFT(INDEX(Responses!$A$6:$ZZ$6,1,MATCH(EC$6,Responses!$1:$1,0)),1))))</f>
        <v>4</v>
      </c>
      <c r="ED11">
        <f>IF(INDEX(Responses!$A$6:$ZZ$6,1,MATCH(ED$6,Responses!$1:$1,0))&amp;""="","",IF(LEFT(INDEX(Responses!$A$6:$ZZ$6,1,MATCH(ED$6,Responses!$1:$1,0)),1)="N","NA",VALUE(LEFT(INDEX(Responses!$A$6:$ZZ$6,1,MATCH(ED$6,Responses!$1:$1,0)),1))))</f>
        <v>3</v>
      </c>
      <c r="EE11">
        <f>IF(INDEX(Responses!$A$6:$ZZ$6,1,MATCH(EE$6,Responses!$1:$1,0))&amp;""="","",IF(LEFT(INDEX(Responses!$A$6:$ZZ$6,1,MATCH(EE$6,Responses!$1:$1,0)),1)="N","NA",VALUE(LEFT(INDEX(Responses!$A$6:$ZZ$6,1,MATCH(EE$6,Responses!$1:$1,0)),1))))</f>
        <v>3</v>
      </c>
      <c r="EF11">
        <f>IF(INDEX(Responses!$A$6:$ZZ$6,1,MATCH(EF$6,Responses!$1:$1,0))&amp;""="","",IF(LEFT(INDEX(Responses!$A$6:$ZZ$6,1,MATCH(EF$6,Responses!$1:$1,0)),1)="N","NA",VALUE(LEFT(INDEX(Responses!$A$6:$ZZ$6,1,MATCH(EF$6,Responses!$1:$1,0)),1))))</f>
        <v>4</v>
      </c>
      <c r="EG11">
        <f>IF(INDEX(Responses!$A$6:$ZZ$6,1,MATCH(EG$6,Responses!$1:$1,0))&amp;""="","",IF(LEFT(INDEX(Responses!$A$6:$ZZ$6,1,MATCH(EG$6,Responses!$1:$1,0)),1)="N","NA",VALUE(LEFT(INDEX(Responses!$A$6:$ZZ$6,1,MATCH(EG$6,Responses!$1:$1,0)),1))))</f>
        <v>4</v>
      </c>
      <c r="EH11">
        <f>IF(INDEX(Responses!$A$6:$ZZ$6,1,MATCH(EH$6,Responses!$1:$1,0))&amp;""="","",IF(LEFT(INDEX(Responses!$A$6:$ZZ$6,1,MATCH(EH$6,Responses!$1:$1,0)),1)="N","NA",VALUE(LEFT(INDEX(Responses!$A$6:$ZZ$6,1,MATCH(EH$6,Responses!$1:$1,0)),1))))</f>
        <v>5</v>
      </c>
      <c r="EI11">
        <f>IF(INDEX(Responses!$A$6:$ZZ$6,1,MATCH(EI$6,Responses!$1:$1,0))&amp;""="","",IF(LEFT(INDEX(Responses!$A$6:$ZZ$6,1,MATCH(EI$6,Responses!$1:$1,0)),1)="N","NA",VALUE(LEFT(INDEX(Responses!$A$6:$ZZ$6,1,MATCH(EI$6,Responses!$1:$1,0)),1))))</f>
        <v>5</v>
      </c>
      <c r="EJ11" t="str">
        <f>IF(INDEX(Responses!$A$6:$ZZ$6,1,MATCH(EJ$6,Responses!$1:$1,0))&amp;""="","",IF(LEFT(INDEX(Responses!$A$6:$ZZ$6,1,MATCH(EJ$6,Responses!$1:$1,0)),1)="N","NA",VALUE(LEFT(INDEX(Responses!$A$6:$ZZ$6,1,MATCH(EJ$6,Responses!$1:$1,0)),1))))</f>
        <v>NA</v>
      </c>
      <c r="EK11">
        <f>IF(INDEX(Responses!$A$6:$ZZ$6,1,MATCH(EK$6,Responses!$1:$1,0))&amp;""="","",IF(LEFT(INDEX(Responses!$A$6:$ZZ$6,1,MATCH(EK$6,Responses!$1:$1,0)),1)="N","NA",VALUE(LEFT(INDEX(Responses!$A$6:$ZZ$6,1,MATCH(EK$6,Responses!$1:$1,0)),1))))</f>
        <v>4</v>
      </c>
      <c r="EL11">
        <f>IF(INDEX(Responses!$A$6:$ZZ$6,1,MATCH(EL$6,Responses!$1:$1,0))&amp;""="","",IF(LEFT(INDEX(Responses!$A$6:$ZZ$6,1,MATCH(EL$6,Responses!$1:$1,0)),1)="N","NA",VALUE(LEFT(INDEX(Responses!$A$6:$ZZ$6,1,MATCH(EL$6,Responses!$1:$1,0)),1))))</f>
        <v>4</v>
      </c>
      <c r="EM11">
        <f>IF(INDEX(Responses!$A$6:$ZZ$6,1,MATCH(EM$6,Responses!$1:$1,0))&amp;""="","",IF(LEFT(INDEX(Responses!$A$6:$ZZ$6,1,MATCH(EM$6,Responses!$1:$1,0)),1)="N","NA",VALUE(LEFT(INDEX(Responses!$A$6:$ZZ$6,1,MATCH(EM$6,Responses!$1:$1,0)),1))))</f>
        <v>4</v>
      </c>
      <c r="EN11">
        <f>IF(INDEX(Responses!$A$6:$ZZ$6,1,MATCH(EN$6,Responses!$1:$1,0))&amp;""="","",IF(LEFT(INDEX(Responses!$A$6:$ZZ$6,1,MATCH(EN$6,Responses!$1:$1,0)),1)="N","NA",VALUE(LEFT(INDEX(Responses!$A$6:$ZZ$6,1,MATCH(EN$6,Responses!$1:$1,0)),1))))</f>
        <v>3</v>
      </c>
      <c r="EO11">
        <f>IF(INDEX(Responses!$A$6:$ZZ$6,1,MATCH(EO$6,Responses!$1:$1,0))&amp;""="","",IF(LEFT(INDEX(Responses!$A$6:$ZZ$6,1,MATCH(EO$6,Responses!$1:$1,0)),1)="N","NA",VALUE(LEFT(INDEX(Responses!$A$6:$ZZ$6,1,MATCH(EO$6,Responses!$1:$1,0)),1))))</f>
        <v>4</v>
      </c>
      <c r="EP11">
        <f>IF(INDEX(Responses!$A$6:$ZZ$6,1,MATCH(EP$6,Responses!$1:$1,0))&amp;""="","",IF(LEFT(INDEX(Responses!$A$6:$ZZ$6,1,MATCH(EP$6,Responses!$1:$1,0)),1)="N","NA",VALUE(LEFT(INDEX(Responses!$A$6:$ZZ$6,1,MATCH(EP$6,Responses!$1:$1,0)),1))))</f>
        <v>4</v>
      </c>
      <c r="EQ11">
        <f>IF(INDEX(Responses!$A$6:$ZZ$6,1,MATCH(EQ$6,Responses!$1:$1,0))&amp;""="","",IF(LEFT(INDEX(Responses!$A$6:$ZZ$6,1,MATCH(EQ$6,Responses!$1:$1,0)),1)="N","NA",VALUE(LEFT(INDEX(Responses!$A$6:$ZZ$6,1,MATCH(EQ$6,Responses!$1:$1,0)),1))))</f>
        <v>4</v>
      </c>
      <c r="ER11">
        <f>IF(INDEX(Responses!$A$6:$ZZ$6,1,MATCH(ER$6,Responses!$1:$1,0))&amp;""="","",IF(LEFT(INDEX(Responses!$A$6:$ZZ$6,1,MATCH(ER$6,Responses!$1:$1,0)),1)="N","NA",VALUE(LEFT(INDEX(Responses!$A$6:$ZZ$6,1,MATCH(ER$6,Responses!$1:$1,0)),1))))</f>
        <v>4</v>
      </c>
      <c r="ES11">
        <f>IF(INDEX(Responses!$A$6:$ZZ$6,1,MATCH(ES$6,Responses!$1:$1,0))&amp;""="","",IF(LEFT(INDEX(Responses!$A$6:$ZZ$6,1,MATCH(ES$6,Responses!$1:$1,0)),1)="N","NA",VALUE(LEFT(INDEX(Responses!$A$6:$ZZ$6,1,MATCH(ES$6,Responses!$1:$1,0)),1))))</f>
        <v>5</v>
      </c>
      <c r="ET11">
        <f>--ISNUMBER(SEARCH(INDEX(Items!$G:$G,MATCH(ET$1,Items!$A:$A,0)),INDEX(Responses!$A$6:$ZZ$6,1,MATCH(ET$6,Responses!$1:$1,0))))</f>
        <v>0</v>
      </c>
      <c r="EU11">
        <f>--ISNUMBER(SEARCH(INDEX(Items!$G:$G,MATCH(EU$1,Items!$A:$A,0)),INDEX(Responses!$A$6:$ZZ$6,1,MATCH(EU$6,Responses!$1:$1,0))))</f>
        <v>1</v>
      </c>
      <c r="EV11">
        <f>--ISNUMBER(SEARCH(INDEX(Items!$G:$G,MATCH(EV$1,Items!$A:$A,0)),INDEX(Responses!$A$6:$ZZ$6,1,MATCH(EV$6,Responses!$1:$1,0))))</f>
        <v>0</v>
      </c>
      <c r="EW11">
        <f>--ISNUMBER(SEARCH(INDEX(Items!$G:$G,MATCH(EW$1,Items!$A:$A,0)),INDEX(Responses!$A$6:$ZZ$6,1,MATCH(EW$6,Responses!$1:$1,0))))</f>
        <v>0</v>
      </c>
      <c r="EX11">
        <f>--ISNUMBER(SEARCH(INDEX(Items!$G:$G,MATCH(EX$1,Items!$A:$A,0)),INDEX(Responses!$A$6:$ZZ$6,1,MATCH(EX$6,Responses!$1:$1,0))))</f>
        <v>0</v>
      </c>
      <c r="EY11">
        <f>--ISNUMBER(SEARCH(INDEX(Items!$G:$G,MATCH(EY$1,Items!$A:$A,0)),INDEX(Responses!$A$6:$ZZ$6,1,MATCH(EY$6,Responses!$1:$1,0))))</f>
        <v>0</v>
      </c>
      <c r="EZ11">
        <f>--ISNUMBER(SEARCH(INDEX(Items!$G:$G,MATCH(EZ$1,Items!$A:$A,0)),INDEX(Responses!$A$6:$ZZ$6,1,MATCH(EZ$6,Responses!$1:$1,0))))</f>
        <v>0</v>
      </c>
      <c r="FA11">
        <f>--ISNUMBER(SEARCH(INDEX(Items!$G:$G,MATCH(FA$1,Items!$A:$A,0)),INDEX(Responses!$A$6:$ZZ$6,1,MATCH(FA$6,Responses!$1:$1,0))))</f>
        <v>1</v>
      </c>
      <c r="FB11">
        <f>--ISNUMBER(SEARCH(INDEX(Items!$G:$G,MATCH(FB$1,Items!$A:$A,0)),INDEX(Responses!$A$6:$ZZ$6,1,MATCH(FB$6,Responses!$1:$1,0))))</f>
        <v>0</v>
      </c>
      <c r="FC11">
        <f>--ISNUMBER(SEARCH(INDEX(Items!$G:$G,MATCH(FC$1,Items!$A:$A,0)),INDEX(Responses!$A$6:$ZZ$6,1,MATCH(FC$6,Responses!$1:$1,0))))</f>
        <v>1</v>
      </c>
      <c r="FD11">
        <f>--ISNUMBER(SEARCH(INDEX(Items!$G:$G,MATCH(FD$1,Items!$A:$A,0)),INDEX(Responses!$A$6:$ZZ$6,1,MATCH(FD$6,Responses!$1:$1,0))))</f>
        <v>0</v>
      </c>
      <c r="FE11">
        <f>--ISNUMBER(SEARCH(INDEX(Items!$G:$G,MATCH(FE$1,Items!$A:$A,0)),INDEX(Responses!$A$6:$ZZ$6,1,MATCH(FE$6,Responses!$1:$1,0))))</f>
        <v>0</v>
      </c>
      <c r="FF11">
        <f>--ISNUMBER(SEARCH(INDEX(Items!$G:$G,MATCH(FF$1,Items!$A:$A,0)),INDEX(Responses!$A$6:$ZZ$6,1,MATCH(FF$6,Responses!$1:$1,0))))</f>
        <v>0</v>
      </c>
      <c r="FG11">
        <f>--ISNUMBER(SEARCH(INDEX(Items!$G:$G,MATCH(FG$1,Items!$A:$A,0)),INDEX(Responses!$A$6:$ZZ$6,1,MATCH(FG$6,Responses!$1:$1,0))))</f>
        <v>0</v>
      </c>
      <c r="FH11">
        <f>--ISNUMBER(SEARCH(INDEX(Items!$G:$G,MATCH(FH$1,Items!$A:$A,0)),INDEX(Responses!$A$6:$ZZ$6,1,MATCH(FH$6,Responses!$1:$1,0))))</f>
        <v>0</v>
      </c>
      <c r="FI11">
        <f>--ISNUMBER(SEARCH(INDEX(Items!$G:$G,MATCH(FI$1,Items!$A:$A,0)),INDEX(Responses!$A$6:$ZZ$6,1,MATCH(FI$6,Responses!$1:$1,0))))</f>
        <v>0</v>
      </c>
      <c r="FJ11">
        <f>--ISNUMBER(SEARCH(INDEX(Items!$G:$G,MATCH(FJ$1,Items!$A:$A,0)),INDEX(Responses!$A$6:$ZZ$6,1,MATCH(FJ$6,Responses!$1:$1,0))))</f>
        <v>1</v>
      </c>
      <c r="FK11">
        <f>--ISNUMBER(SEARCH(INDEX(Items!$G:$G,MATCH(FK$1,Items!$A:$A,0)),INDEX(Responses!$A$6:$ZZ$6,1,MATCH(FK$6,Responses!$1:$1,0))))</f>
        <v>1</v>
      </c>
      <c r="FL11">
        <f>--ISNUMBER(SEARCH(INDEX(Items!$G:$G,MATCH(FL$1,Items!$A:$A,0)),INDEX(Responses!$A$6:$ZZ$6,1,MATCH(FL$6,Responses!$1:$1,0))))</f>
        <v>0</v>
      </c>
      <c r="FM11">
        <f>--ISNUMBER(SEARCH(INDEX(Items!$G:$G,MATCH(FM$1,Items!$A:$A,0)),INDEX(Responses!$A$6:$ZZ$6,1,MATCH(FM$6,Responses!$1:$1,0))))</f>
        <v>0</v>
      </c>
      <c r="FN11">
        <f>--ISNUMBER(SEARCH(INDEX(Items!$G:$G,MATCH(FN$1,Items!$A:$A,0)),INDEX(Responses!$A$6:$ZZ$6,1,MATCH(FN$6,Responses!$1:$1,0))))</f>
        <v>0</v>
      </c>
      <c r="FO11">
        <f>--ISNUMBER(SEARCH(INDEX(Items!$G:$G,MATCH(FO$1,Items!$A:$A,0)),INDEX(Responses!$A$6:$ZZ$6,1,MATCH(FO$6,Responses!$1:$1,0))))</f>
        <v>0</v>
      </c>
      <c r="FP11">
        <f>--ISNUMBER(SEARCH(INDEX(Items!$G:$G,MATCH(FP$1,Items!$A:$A,0)),INDEX(Responses!$A$6:$ZZ$6,1,MATCH(FP$6,Responses!$1:$1,0))))</f>
        <v>0</v>
      </c>
      <c r="FQ11">
        <f>--ISNUMBER(SEARCH(INDEX(Items!$G:$G,MATCH(FQ$1,Items!$A:$A,0)),INDEX(Responses!$A$6:$ZZ$6,1,MATCH(FQ$6,Responses!$1:$1,0))))</f>
        <v>0</v>
      </c>
      <c r="FR11">
        <f>--ISNUMBER(SEARCH(INDEX(Items!$G:$G,MATCH(FR$1,Items!$A:$A,0)),INDEX(Responses!$A$6:$ZZ$6,1,MATCH(FR$6,Responses!$1:$1,0))))</f>
        <v>0</v>
      </c>
      <c r="FS11">
        <f>--ISNUMBER(SEARCH(INDEX(Items!$G:$G,MATCH(FS$1,Items!$A:$A,0)),INDEX(Responses!$A$6:$ZZ$6,1,MATCH(FS$6,Responses!$1:$1,0))))</f>
        <v>1</v>
      </c>
      <c r="FT11">
        <f>--ISNUMBER(SEARCH(INDEX(Items!$G:$G,MATCH(FT$1,Items!$A:$A,0)),INDEX(Responses!$A$6:$ZZ$6,1,MATCH(FT$6,Responses!$1:$1,0))))</f>
        <v>1</v>
      </c>
      <c r="FU11">
        <f>--ISNUMBER(SEARCH(INDEX(Items!$G:$G,MATCH(FU$1,Items!$A:$A,0)),INDEX(Responses!$A$6:$ZZ$6,1,MATCH(FU$6,Responses!$1:$1,0))))</f>
        <v>0</v>
      </c>
    </row>
    <row r="12" spans="1:177" x14ac:dyDescent="0.45">
      <c r="A12" t="str">
        <f>Responses!$D$7</f>
        <v>Liam O'Connor</v>
      </c>
      <c r="B12">
        <f>IF(INDEX(Responses!$A$7:$ZZ$7,1,MATCH(B$6,Responses!$1:$1,0))&amp;""="","",IF(LEFT(INDEX(Responses!$A$7:$ZZ$7,1,MATCH(B$6,Responses!$1:$1,0)),1)="N","NA",VALUE(LEFT(INDEX(Responses!$A$7:$ZZ$7,1,MATCH(B$6,Responses!$1:$1,0)),1))))</f>
        <v>4</v>
      </c>
      <c r="C12">
        <f>IF(INDEX(Responses!$A$7:$ZZ$7,1,MATCH(C$6,Responses!$1:$1,0))&amp;""="","",IF(LEFT(INDEX(Responses!$A$7:$ZZ$7,1,MATCH(C$6,Responses!$1:$1,0)),1)="N","NA",VALUE(LEFT(INDEX(Responses!$A$7:$ZZ$7,1,MATCH(C$6,Responses!$1:$1,0)),1))))</f>
        <v>1</v>
      </c>
      <c r="D12">
        <f>IF(INDEX(Responses!$A$7:$ZZ$7,1,MATCH(D$6,Responses!$1:$1,0))&amp;""="","",IF(LEFT(INDEX(Responses!$A$7:$ZZ$7,1,MATCH(D$6,Responses!$1:$1,0)),1)="N","NA",VALUE(LEFT(INDEX(Responses!$A$7:$ZZ$7,1,MATCH(D$6,Responses!$1:$1,0)),1))))</f>
        <v>2</v>
      </c>
      <c r="E12">
        <f>IF(INDEX(Responses!$A$7:$ZZ$7,1,MATCH(E$6,Responses!$1:$1,0))&amp;""="","",IF(LEFT(INDEX(Responses!$A$7:$ZZ$7,1,MATCH(E$6,Responses!$1:$1,0)),1)="N","NA",VALUE(LEFT(INDEX(Responses!$A$7:$ZZ$7,1,MATCH(E$6,Responses!$1:$1,0)),1))))</f>
        <v>2</v>
      </c>
      <c r="F12">
        <f>IF(INDEX(Responses!$A$7:$ZZ$7,1,MATCH(F$6,Responses!$1:$1,0))&amp;""="","",IF(LEFT(INDEX(Responses!$A$7:$ZZ$7,1,MATCH(F$6,Responses!$1:$1,0)),1)="N","NA",VALUE(LEFT(INDEX(Responses!$A$7:$ZZ$7,1,MATCH(F$6,Responses!$1:$1,0)),1))))</f>
        <v>4</v>
      </c>
      <c r="G12">
        <f>IF(INDEX(Responses!$A$7:$ZZ$7,1,MATCH(G$6,Responses!$1:$1,0))&amp;""="","",IF(LEFT(INDEX(Responses!$A$7:$ZZ$7,1,MATCH(G$6,Responses!$1:$1,0)),1)="N","NA",VALUE(LEFT(INDEX(Responses!$A$7:$ZZ$7,1,MATCH(G$6,Responses!$1:$1,0)),1))))</f>
        <v>3</v>
      </c>
      <c r="H12">
        <f>IF(INDEX(Responses!$A$7:$ZZ$7,1,MATCH(H$6,Responses!$1:$1,0))&amp;""="","",IF(LEFT(INDEX(Responses!$A$7:$ZZ$7,1,MATCH(H$6,Responses!$1:$1,0)),1)="N","NA",VALUE(LEFT(INDEX(Responses!$A$7:$ZZ$7,1,MATCH(H$6,Responses!$1:$1,0)),1))))</f>
        <v>3</v>
      </c>
      <c r="I12">
        <f>IF(INDEX(Responses!$A$7:$ZZ$7,1,MATCH(I$6,Responses!$1:$1,0))&amp;""="","",IF(LEFT(INDEX(Responses!$A$7:$ZZ$7,1,MATCH(I$6,Responses!$1:$1,0)),1)="N","NA",VALUE(LEFT(INDEX(Responses!$A$7:$ZZ$7,1,MATCH(I$6,Responses!$1:$1,0)),1))))</f>
        <v>2</v>
      </c>
      <c r="J12">
        <f>IF(INDEX(Responses!$A$7:$ZZ$7,1,MATCH(J$6,Responses!$1:$1,0))&amp;""="","",IF(LEFT(INDEX(Responses!$A$7:$ZZ$7,1,MATCH(J$6,Responses!$1:$1,0)),1)="N","NA",VALUE(LEFT(INDEX(Responses!$A$7:$ZZ$7,1,MATCH(J$6,Responses!$1:$1,0)),1))))</f>
        <v>4</v>
      </c>
      <c r="K12">
        <f>IF(INDEX(Responses!$A$7:$ZZ$7,1,MATCH(K$6,Responses!$1:$1,0))&amp;""="","",IF(LEFT(INDEX(Responses!$A$7:$ZZ$7,1,MATCH(K$6,Responses!$1:$1,0)),1)="N","NA",VALUE(LEFT(INDEX(Responses!$A$7:$ZZ$7,1,MATCH(K$6,Responses!$1:$1,0)),1))))</f>
        <v>2</v>
      </c>
      <c r="L12">
        <f>IF(INDEX(Responses!$A$7:$ZZ$7,1,MATCH(L$6,Responses!$1:$1,0))&amp;""="","",IF(LEFT(INDEX(Responses!$A$7:$ZZ$7,1,MATCH(L$6,Responses!$1:$1,0)),1)="N","NA",VALUE(LEFT(INDEX(Responses!$A$7:$ZZ$7,1,MATCH(L$6,Responses!$1:$1,0)),1))))</f>
        <v>4</v>
      </c>
      <c r="M12">
        <f>IF(INDEX(Responses!$A$7:$ZZ$7,1,MATCH(M$6,Responses!$1:$1,0))&amp;""="","",IF(LEFT(INDEX(Responses!$A$7:$ZZ$7,1,MATCH(M$6,Responses!$1:$1,0)),1)="N","NA",VALUE(LEFT(INDEX(Responses!$A$7:$ZZ$7,1,MATCH(M$6,Responses!$1:$1,0)),1))))</f>
        <v>4</v>
      </c>
      <c r="N12">
        <f>IF(INDEX(Responses!$A$7:$ZZ$7,1,MATCH(N$6,Responses!$1:$1,0))&amp;""="","",IF(LEFT(INDEX(Responses!$A$7:$ZZ$7,1,MATCH(N$6,Responses!$1:$1,0)),1)="N","NA",VALUE(LEFT(INDEX(Responses!$A$7:$ZZ$7,1,MATCH(N$6,Responses!$1:$1,0)),1))))</f>
        <v>2</v>
      </c>
      <c r="O12">
        <f>IF(INDEX(Responses!$A$7:$ZZ$7,1,MATCH(O$6,Responses!$1:$1,0))&amp;""="","",IF(LEFT(INDEX(Responses!$A$7:$ZZ$7,1,MATCH(O$6,Responses!$1:$1,0)),1)="N","NA",VALUE(LEFT(INDEX(Responses!$A$7:$ZZ$7,1,MATCH(O$6,Responses!$1:$1,0)),1))))</f>
        <v>3</v>
      </c>
      <c r="P12">
        <f>IF(INDEX(Responses!$A$7:$ZZ$7,1,MATCH(P$6,Responses!$1:$1,0))&amp;""="","",IF(LEFT(INDEX(Responses!$A$7:$ZZ$7,1,MATCH(P$6,Responses!$1:$1,0)),1)="N","NA",VALUE(LEFT(INDEX(Responses!$A$7:$ZZ$7,1,MATCH(P$6,Responses!$1:$1,0)),1))))</f>
        <v>2</v>
      </c>
      <c r="Q12">
        <f>IF(INDEX(Responses!$A$7:$ZZ$7,1,MATCH(Q$6,Responses!$1:$1,0))&amp;""="","",IF(LEFT(INDEX(Responses!$A$7:$ZZ$7,1,MATCH(Q$6,Responses!$1:$1,0)),1)="N","NA",VALUE(LEFT(INDEX(Responses!$A$7:$ZZ$7,1,MATCH(Q$6,Responses!$1:$1,0)),1))))</f>
        <v>2</v>
      </c>
      <c r="R12">
        <f>IF(INDEX(Responses!$A$7:$ZZ$7,1,MATCH(R$6,Responses!$1:$1,0))&amp;""="","",IF(LEFT(INDEX(Responses!$A$7:$ZZ$7,1,MATCH(R$6,Responses!$1:$1,0)),1)="N","NA",VALUE(LEFT(INDEX(Responses!$A$7:$ZZ$7,1,MATCH(R$6,Responses!$1:$1,0)),1))))</f>
        <v>2</v>
      </c>
      <c r="S12">
        <f>IF(INDEX(Responses!$A$7:$ZZ$7,1,MATCH(S$6,Responses!$1:$1,0))&amp;""="","",IF(LEFT(INDEX(Responses!$A$7:$ZZ$7,1,MATCH(S$6,Responses!$1:$1,0)),1)="N","NA",VALUE(LEFT(INDEX(Responses!$A$7:$ZZ$7,1,MATCH(S$6,Responses!$1:$1,0)),1))))</f>
        <v>3</v>
      </c>
      <c r="T12">
        <f>IF(INDEX(Responses!$A$7:$ZZ$7,1,MATCH(T$6,Responses!$1:$1,0))&amp;""="","",IF(LEFT(INDEX(Responses!$A$7:$ZZ$7,1,MATCH(T$6,Responses!$1:$1,0)),1)="N","NA",VALUE(LEFT(INDEX(Responses!$A$7:$ZZ$7,1,MATCH(T$6,Responses!$1:$1,0)),1))))</f>
        <v>4</v>
      </c>
      <c r="U12">
        <f>IF(INDEX(Responses!$A$7:$ZZ$7,1,MATCH(U$6,Responses!$1:$1,0))&amp;""="","",IF(LEFT(INDEX(Responses!$A$7:$ZZ$7,1,MATCH(U$6,Responses!$1:$1,0)),1)="N","NA",VALUE(LEFT(INDEX(Responses!$A$7:$ZZ$7,1,MATCH(U$6,Responses!$1:$1,0)),1))))</f>
        <v>3</v>
      </c>
      <c r="V12">
        <f>IF(INDEX(Responses!$A$7:$ZZ$7,1,MATCH(V$6,Responses!$1:$1,0))&amp;""="","",IF(LEFT(INDEX(Responses!$A$7:$ZZ$7,1,MATCH(V$6,Responses!$1:$1,0)),1)="N","NA",VALUE(LEFT(INDEX(Responses!$A$7:$ZZ$7,1,MATCH(V$6,Responses!$1:$1,0)),1))))</f>
        <v>5</v>
      </c>
      <c r="W12">
        <f>IF(INDEX(Responses!$A$7:$ZZ$7,1,MATCH(W$6,Responses!$1:$1,0))&amp;""="","",IF(LEFT(INDEX(Responses!$A$7:$ZZ$7,1,MATCH(W$6,Responses!$1:$1,0)),1)="N","NA",VALUE(LEFT(INDEX(Responses!$A$7:$ZZ$7,1,MATCH(W$6,Responses!$1:$1,0)),1))))</f>
        <v>3</v>
      </c>
      <c r="X12">
        <f>IF(INDEX(Responses!$A$7:$ZZ$7,1,MATCH(X$6,Responses!$1:$1,0))&amp;""="","",IF(LEFT(INDEX(Responses!$A$7:$ZZ$7,1,MATCH(X$6,Responses!$1:$1,0)),1)="N","NA",VALUE(LEFT(INDEX(Responses!$A$7:$ZZ$7,1,MATCH(X$6,Responses!$1:$1,0)),1))))</f>
        <v>4</v>
      </c>
      <c r="Y12">
        <f>IF(INDEX(Responses!$A$7:$ZZ$7,1,MATCH(Y$6,Responses!$1:$1,0))&amp;""="","",IF(LEFT(INDEX(Responses!$A$7:$ZZ$7,1,MATCH(Y$6,Responses!$1:$1,0)),1)="N","NA",VALUE(LEFT(INDEX(Responses!$A$7:$ZZ$7,1,MATCH(Y$6,Responses!$1:$1,0)),1))))</f>
        <v>4</v>
      </c>
      <c r="Z12">
        <f>IF(INDEX(Responses!$A$7:$ZZ$7,1,MATCH(Z$6,Responses!$1:$1,0))&amp;""="","",IF(LEFT(INDEX(Responses!$A$7:$ZZ$7,1,MATCH(Z$6,Responses!$1:$1,0)),1)="N","NA",VALUE(LEFT(INDEX(Responses!$A$7:$ZZ$7,1,MATCH(Z$6,Responses!$1:$1,0)),1))))</f>
        <v>4</v>
      </c>
      <c r="AA12">
        <f>IF(INDEX(Responses!$A$7:$ZZ$7,1,MATCH(AA$6,Responses!$1:$1,0))&amp;""="","",IF(LEFT(INDEX(Responses!$A$7:$ZZ$7,1,MATCH(AA$6,Responses!$1:$1,0)),1)="N","NA",VALUE(LEFT(INDEX(Responses!$A$7:$ZZ$7,1,MATCH(AA$6,Responses!$1:$1,0)),1))))</f>
        <v>3</v>
      </c>
      <c r="AB12">
        <f>IF(INDEX(Responses!$A$7:$ZZ$7,1,MATCH(AB$6,Responses!$1:$1,0))&amp;""="","",IF(LEFT(INDEX(Responses!$A$7:$ZZ$7,1,MATCH(AB$6,Responses!$1:$1,0)),1)="N","NA",VALUE(LEFT(INDEX(Responses!$A$7:$ZZ$7,1,MATCH(AB$6,Responses!$1:$1,0)),1))))</f>
        <v>3</v>
      </c>
      <c r="AC12">
        <f>IF(INDEX(Responses!$A$7:$ZZ$7,1,MATCH(AC$6,Responses!$1:$1,0))&amp;""="","",IF(LEFT(INDEX(Responses!$A$7:$ZZ$7,1,MATCH(AC$6,Responses!$1:$1,0)),1)="N","NA",VALUE(LEFT(INDEX(Responses!$A$7:$ZZ$7,1,MATCH(AC$6,Responses!$1:$1,0)),1))))</f>
        <v>4</v>
      </c>
      <c r="AD12">
        <f>IF(INDEX(Responses!$A$7:$ZZ$7,1,MATCH(AD$6,Responses!$1:$1,0))&amp;""="","",IF(LEFT(INDEX(Responses!$A$7:$ZZ$7,1,MATCH(AD$6,Responses!$1:$1,0)),1)="N","NA",VALUE(LEFT(INDEX(Responses!$A$7:$ZZ$7,1,MATCH(AD$6,Responses!$1:$1,0)),1))))</f>
        <v>4</v>
      </c>
      <c r="AE12">
        <f>IF(INDEX(Responses!$A$7:$ZZ$7,1,MATCH(AE$6,Responses!$1:$1,0))&amp;""="","",IF(LEFT(INDEX(Responses!$A$7:$ZZ$7,1,MATCH(AE$6,Responses!$1:$1,0)),1)="N","NA",VALUE(LEFT(INDEX(Responses!$A$7:$ZZ$7,1,MATCH(AE$6,Responses!$1:$1,0)),1))))</f>
        <v>4</v>
      </c>
      <c r="AF12">
        <f>IF(INDEX(Responses!$A$7:$ZZ$7,1,MATCH(AF$6,Responses!$1:$1,0))&amp;""="","",IF(LEFT(INDEX(Responses!$A$7:$ZZ$7,1,MATCH(AF$6,Responses!$1:$1,0)),1)="N","NA",VALUE(LEFT(INDEX(Responses!$A$7:$ZZ$7,1,MATCH(AF$6,Responses!$1:$1,0)),1))))</f>
        <v>2</v>
      </c>
      <c r="AG12">
        <f>IF(INDEX(Responses!$A$7:$ZZ$7,1,MATCH(AG$6,Responses!$1:$1,0))&amp;""="","",IF(LEFT(INDEX(Responses!$A$7:$ZZ$7,1,MATCH(AG$6,Responses!$1:$1,0)),1)="N","NA",VALUE(LEFT(INDEX(Responses!$A$7:$ZZ$7,1,MATCH(AG$6,Responses!$1:$1,0)),1))))</f>
        <v>4</v>
      </c>
      <c r="AH12">
        <f>IF(INDEX(Responses!$A$7:$ZZ$7,1,MATCH(AH$6,Responses!$1:$1,0))&amp;""="","",IF(LEFT(INDEX(Responses!$A$7:$ZZ$7,1,MATCH(AH$6,Responses!$1:$1,0)),1)="N","NA",VALUE(LEFT(INDEX(Responses!$A$7:$ZZ$7,1,MATCH(AH$6,Responses!$1:$1,0)),1))))</f>
        <v>3</v>
      </c>
      <c r="AI12">
        <f>IF(INDEX(Responses!$A$7:$ZZ$7,1,MATCH(AI$6,Responses!$1:$1,0))&amp;""="","",IF(LEFT(INDEX(Responses!$A$7:$ZZ$7,1,MATCH(AI$6,Responses!$1:$1,0)),1)="N","NA",VALUE(LEFT(INDEX(Responses!$A$7:$ZZ$7,1,MATCH(AI$6,Responses!$1:$1,0)),1))))</f>
        <v>4</v>
      </c>
      <c r="AJ12">
        <f>IF(INDEX(Responses!$A$7:$ZZ$7,1,MATCH(AJ$6,Responses!$1:$1,0))&amp;""="","",IF(LEFT(INDEX(Responses!$A$7:$ZZ$7,1,MATCH(AJ$6,Responses!$1:$1,0)),1)="N","NA",VALUE(LEFT(INDEX(Responses!$A$7:$ZZ$7,1,MATCH(AJ$6,Responses!$1:$1,0)),1))))</f>
        <v>4</v>
      </c>
      <c r="AK12">
        <f>IF(INDEX(Responses!$A$7:$ZZ$7,1,MATCH(AK$6,Responses!$1:$1,0))&amp;""="","",IF(LEFT(INDEX(Responses!$A$7:$ZZ$7,1,MATCH(AK$6,Responses!$1:$1,0)),1)="N","NA",VALUE(LEFT(INDEX(Responses!$A$7:$ZZ$7,1,MATCH(AK$6,Responses!$1:$1,0)),1))))</f>
        <v>3</v>
      </c>
      <c r="AL12">
        <f>IF(INDEX(Responses!$A$7:$ZZ$7,1,MATCH(AL$6,Responses!$1:$1,0))&amp;""="","",IF(LEFT(INDEX(Responses!$A$7:$ZZ$7,1,MATCH(AL$6,Responses!$1:$1,0)),1)="N","NA",VALUE(LEFT(INDEX(Responses!$A$7:$ZZ$7,1,MATCH(AL$6,Responses!$1:$1,0)),1))))</f>
        <v>4</v>
      </c>
      <c r="AM12">
        <f>IF(INDEX(Responses!$A$7:$ZZ$7,1,MATCH(AM$6,Responses!$1:$1,0))&amp;""="","",IF(LEFT(INDEX(Responses!$A$7:$ZZ$7,1,MATCH(AM$6,Responses!$1:$1,0)),1)="N","NA",VALUE(LEFT(INDEX(Responses!$A$7:$ZZ$7,1,MATCH(AM$6,Responses!$1:$1,0)),1))))</f>
        <v>4</v>
      </c>
      <c r="AN12">
        <f>IF(INDEX(Responses!$A$7:$ZZ$7,1,MATCH(AN$6,Responses!$1:$1,0))&amp;""="","",IF(LEFT(INDEX(Responses!$A$7:$ZZ$7,1,MATCH(AN$6,Responses!$1:$1,0)),1)="N","NA",VALUE(LEFT(INDEX(Responses!$A$7:$ZZ$7,1,MATCH(AN$6,Responses!$1:$1,0)),1))))</f>
        <v>2</v>
      </c>
      <c r="AO12">
        <f>IF(INDEX(Responses!$A$7:$ZZ$7,1,MATCH(AO$6,Responses!$1:$1,0))&amp;""="","",IF(LEFT(INDEX(Responses!$A$7:$ZZ$7,1,MATCH(AO$6,Responses!$1:$1,0)),1)="N","NA",VALUE(LEFT(INDEX(Responses!$A$7:$ZZ$7,1,MATCH(AO$6,Responses!$1:$1,0)),1))))</f>
        <v>4</v>
      </c>
      <c r="AP12">
        <f>IF(INDEX(Responses!$A$7:$ZZ$7,1,MATCH(AP$6,Responses!$1:$1,0))&amp;""="","",IF(LEFT(INDEX(Responses!$A$7:$ZZ$7,1,MATCH(AP$6,Responses!$1:$1,0)),1)="N","NA",VALUE(LEFT(INDEX(Responses!$A$7:$ZZ$7,1,MATCH(AP$6,Responses!$1:$1,0)),1))))</f>
        <v>3</v>
      </c>
      <c r="AQ12">
        <f>IF(INDEX(Responses!$A$7:$ZZ$7,1,MATCH(AQ$6,Responses!$1:$1,0))&amp;""="","",IF(LEFT(INDEX(Responses!$A$7:$ZZ$7,1,MATCH(AQ$6,Responses!$1:$1,0)),1)="N","NA",VALUE(LEFT(INDEX(Responses!$A$7:$ZZ$7,1,MATCH(AQ$6,Responses!$1:$1,0)),1))))</f>
        <v>3</v>
      </c>
      <c r="AR12">
        <f>IF(INDEX(Responses!$A$7:$ZZ$7,1,MATCH(AR$6,Responses!$1:$1,0))&amp;""="","",IF(LEFT(INDEX(Responses!$A$7:$ZZ$7,1,MATCH(AR$6,Responses!$1:$1,0)),1)="N","NA",VALUE(LEFT(INDEX(Responses!$A$7:$ZZ$7,1,MATCH(AR$6,Responses!$1:$1,0)),1))))</f>
        <v>3</v>
      </c>
      <c r="AS12">
        <f>IF(INDEX(Responses!$A$7:$ZZ$7,1,MATCH(AS$6,Responses!$1:$1,0))&amp;""="","",IF(LEFT(INDEX(Responses!$A$7:$ZZ$7,1,MATCH(AS$6,Responses!$1:$1,0)),1)="N","NA",VALUE(LEFT(INDEX(Responses!$A$7:$ZZ$7,1,MATCH(AS$6,Responses!$1:$1,0)),1))))</f>
        <v>3</v>
      </c>
      <c r="AT12">
        <f>IF(INDEX(Responses!$A$7:$ZZ$7,1,MATCH(AT$6,Responses!$1:$1,0))&amp;""="","",IF(LEFT(INDEX(Responses!$A$7:$ZZ$7,1,MATCH(AT$6,Responses!$1:$1,0)),1)="N","NA",VALUE(LEFT(INDEX(Responses!$A$7:$ZZ$7,1,MATCH(AT$6,Responses!$1:$1,0)),1))))</f>
        <v>2</v>
      </c>
      <c r="AU12">
        <f>IF(INDEX(Responses!$A$7:$ZZ$7,1,MATCH(AU$6,Responses!$1:$1,0))&amp;""="","",IF(LEFT(INDEX(Responses!$A$7:$ZZ$7,1,MATCH(AU$6,Responses!$1:$1,0)),1)="N","NA",VALUE(LEFT(INDEX(Responses!$A$7:$ZZ$7,1,MATCH(AU$6,Responses!$1:$1,0)),1))))</f>
        <v>3</v>
      </c>
      <c r="AV12">
        <f>IF(INDEX(Responses!$A$7:$ZZ$7,1,MATCH(AV$6,Responses!$1:$1,0))&amp;""="","",IF(LEFT(INDEX(Responses!$A$7:$ZZ$7,1,MATCH(AV$6,Responses!$1:$1,0)),1)="N","NA",VALUE(LEFT(INDEX(Responses!$A$7:$ZZ$7,1,MATCH(AV$6,Responses!$1:$1,0)),1))))</f>
        <v>5</v>
      </c>
      <c r="AW12">
        <f>IF(INDEX(Responses!$A$7:$ZZ$7,1,MATCH(AW$6,Responses!$1:$1,0))&amp;""="","",IF(LEFT(INDEX(Responses!$A$7:$ZZ$7,1,MATCH(AW$6,Responses!$1:$1,0)),1)="N","NA",VALUE(LEFT(INDEX(Responses!$A$7:$ZZ$7,1,MATCH(AW$6,Responses!$1:$1,0)),1))))</f>
        <v>4</v>
      </c>
      <c r="AX12">
        <f>IF(INDEX(Responses!$A$7:$ZZ$7,1,MATCH(AX$6,Responses!$1:$1,0))&amp;""="","",IF(LEFT(INDEX(Responses!$A$7:$ZZ$7,1,MATCH(AX$6,Responses!$1:$1,0)),1)="N","NA",VALUE(LEFT(INDEX(Responses!$A$7:$ZZ$7,1,MATCH(AX$6,Responses!$1:$1,0)),1))))</f>
        <v>3</v>
      </c>
      <c r="AY12">
        <f>IF(INDEX(Responses!$A$7:$ZZ$7,1,MATCH(AY$6,Responses!$1:$1,0))&amp;""="","",IF(LEFT(INDEX(Responses!$A$7:$ZZ$7,1,MATCH(AY$6,Responses!$1:$1,0)),1)="N","NA",VALUE(LEFT(INDEX(Responses!$A$7:$ZZ$7,1,MATCH(AY$6,Responses!$1:$1,0)),1))))</f>
        <v>3</v>
      </c>
      <c r="AZ12">
        <f>IF(INDEX(Responses!$A$7:$ZZ$7,1,MATCH(AZ$6,Responses!$1:$1,0))&amp;""="","",IF(LEFT(INDEX(Responses!$A$7:$ZZ$7,1,MATCH(AZ$6,Responses!$1:$1,0)),1)="N","NA",VALUE(LEFT(INDEX(Responses!$A$7:$ZZ$7,1,MATCH(AZ$6,Responses!$1:$1,0)),1))))</f>
        <v>4</v>
      </c>
      <c r="BA12">
        <f>IF(INDEX(Responses!$A$7:$ZZ$7,1,MATCH(BA$6,Responses!$1:$1,0))&amp;""="","",IF(LEFT(INDEX(Responses!$A$7:$ZZ$7,1,MATCH(BA$6,Responses!$1:$1,0)),1)="N","NA",VALUE(LEFT(INDEX(Responses!$A$7:$ZZ$7,1,MATCH(BA$6,Responses!$1:$1,0)),1))))</f>
        <v>2</v>
      </c>
      <c r="BB12">
        <f>IF(INDEX(Responses!$A$7:$ZZ$7,1,MATCH(BB$6,Responses!$1:$1,0))&amp;""="","",IF(LEFT(INDEX(Responses!$A$7:$ZZ$7,1,MATCH(BB$6,Responses!$1:$1,0)),1)="N","NA",VALUE(LEFT(INDEX(Responses!$A$7:$ZZ$7,1,MATCH(BB$6,Responses!$1:$1,0)),1))))</f>
        <v>2</v>
      </c>
      <c r="BC12">
        <f>IF(INDEX(Responses!$A$7:$ZZ$7,1,MATCH(BC$6,Responses!$1:$1,0))&amp;""="","",IF(LEFT(INDEX(Responses!$A$7:$ZZ$7,1,MATCH(BC$6,Responses!$1:$1,0)),1)="N","NA",VALUE(LEFT(INDEX(Responses!$A$7:$ZZ$7,1,MATCH(BC$6,Responses!$1:$1,0)),1))))</f>
        <v>2</v>
      </c>
      <c r="BD12">
        <f>IF(INDEX(Responses!$A$7:$ZZ$7,1,MATCH(BD$6,Responses!$1:$1,0))&amp;""="","",IF(LEFT(INDEX(Responses!$A$7:$ZZ$7,1,MATCH(BD$6,Responses!$1:$1,0)),1)="N","NA",VALUE(LEFT(INDEX(Responses!$A$7:$ZZ$7,1,MATCH(BD$6,Responses!$1:$1,0)),1))))</f>
        <v>3</v>
      </c>
      <c r="BE12">
        <f>IF(INDEX(Responses!$A$7:$ZZ$7,1,MATCH(BE$6,Responses!$1:$1,0))&amp;""="","",IF(LEFT(INDEX(Responses!$A$7:$ZZ$7,1,MATCH(BE$6,Responses!$1:$1,0)),1)="N","NA",VALUE(LEFT(INDEX(Responses!$A$7:$ZZ$7,1,MATCH(BE$6,Responses!$1:$1,0)),1))))</f>
        <v>3</v>
      </c>
      <c r="BF12">
        <f>IF(INDEX(Responses!$A$7:$ZZ$7,1,MATCH(BF$6,Responses!$1:$1,0))&amp;""="","",IF(LEFT(INDEX(Responses!$A$7:$ZZ$7,1,MATCH(BF$6,Responses!$1:$1,0)),1)="N","NA",VALUE(LEFT(INDEX(Responses!$A$7:$ZZ$7,1,MATCH(BF$6,Responses!$1:$1,0)),1))))</f>
        <v>2</v>
      </c>
      <c r="BG12">
        <f>IF(INDEX(Responses!$A$7:$ZZ$7,1,MATCH(BG$6,Responses!$1:$1,0))&amp;""="","",IF(LEFT(INDEX(Responses!$A$7:$ZZ$7,1,MATCH(BG$6,Responses!$1:$1,0)),1)="N","NA",VALUE(LEFT(INDEX(Responses!$A$7:$ZZ$7,1,MATCH(BG$6,Responses!$1:$1,0)),1))))</f>
        <v>4</v>
      </c>
      <c r="BH12">
        <f>IF(INDEX(Responses!$A$7:$ZZ$7,1,MATCH(BH$6,Responses!$1:$1,0))&amp;""="","",IF(LEFT(INDEX(Responses!$A$7:$ZZ$7,1,MATCH(BH$6,Responses!$1:$1,0)),1)="N","NA",VALUE(LEFT(INDEX(Responses!$A$7:$ZZ$7,1,MATCH(BH$6,Responses!$1:$1,0)),1))))</f>
        <v>3</v>
      </c>
      <c r="BI12">
        <f>IF(INDEX(Responses!$A$7:$ZZ$7,1,MATCH(BI$6,Responses!$1:$1,0))&amp;""="","",IF(LEFT(INDEX(Responses!$A$7:$ZZ$7,1,MATCH(BI$6,Responses!$1:$1,0)),1)="N","NA",VALUE(LEFT(INDEX(Responses!$A$7:$ZZ$7,1,MATCH(BI$6,Responses!$1:$1,0)),1))))</f>
        <v>2</v>
      </c>
      <c r="BJ12">
        <f>IF(INDEX(Responses!$A$7:$ZZ$7,1,MATCH(BJ$6,Responses!$1:$1,0))&amp;""="","",IF(LEFT(INDEX(Responses!$A$7:$ZZ$7,1,MATCH(BJ$6,Responses!$1:$1,0)),1)="N","NA",VALUE(LEFT(INDEX(Responses!$A$7:$ZZ$7,1,MATCH(BJ$6,Responses!$1:$1,0)),1))))</f>
        <v>3</v>
      </c>
      <c r="BK12">
        <f>IF(INDEX(Responses!$A$7:$ZZ$7,1,MATCH(BK$6,Responses!$1:$1,0))&amp;""="","",IF(LEFT(INDEX(Responses!$A$7:$ZZ$7,1,MATCH(BK$6,Responses!$1:$1,0)),1)="N","NA",VALUE(LEFT(INDEX(Responses!$A$7:$ZZ$7,1,MATCH(BK$6,Responses!$1:$1,0)),1))))</f>
        <v>4</v>
      </c>
      <c r="BL12">
        <f>IF(INDEX(Responses!$A$7:$ZZ$7,1,MATCH(BL$6,Responses!$1:$1,0))&amp;""="","",IF(LEFT(INDEX(Responses!$A$7:$ZZ$7,1,MATCH(BL$6,Responses!$1:$1,0)),1)="N","NA",VALUE(LEFT(INDEX(Responses!$A$7:$ZZ$7,1,MATCH(BL$6,Responses!$1:$1,0)),1))))</f>
        <v>3</v>
      </c>
      <c r="BM12">
        <f>IF(INDEX(Responses!$A$7:$ZZ$7,1,MATCH(BM$6,Responses!$1:$1,0))&amp;""="","",IF(LEFT(INDEX(Responses!$A$7:$ZZ$7,1,MATCH(BM$6,Responses!$1:$1,0)),1)="N","NA",VALUE(LEFT(INDEX(Responses!$A$7:$ZZ$7,1,MATCH(BM$6,Responses!$1:$1,0)),1))))</f>
        <v>3</v>
      </c>
      <c r="BN12">
        <f>IF(INDEX(Responses!$A$7:$ZZ$7,1,MATCH(BN$6,Responses!$1:$1,0))&amp;""="","",IF(LEFT(INDEX(Responses!$A$7:$ZZ$7,1,MATCH(BN$6,Responses!$1:$1,0)),1)="N","NA",VALUE(LEFT(INDEX(Responses!$A$7:$ZZ$7,1,MATCH(BN$6,Responses!$1:$1,0)),1))))</f>
        <v>4</v>
      </c>
      <c r="BO12">
        <f>IF(INDEX(Responses!$A$7:$ZZ$7,1,MATCH(BO$6,Responses!$1:$1,0))&amp;""="","",IF(LEFT(INDEX(Responses!$A$7:$ZZ$7,1,MATCH(BO$6,Responses!$1:$1,0)),1)="N","NA",VALUE(LEFT(INDEX(Responses!$A$7:$ZZ$7,1,MATCH(BO$6,Responses!$1:$1,0)),1))))</f>
        <v>3</v>
      </c>
      <c r="BP12">
        <f>IF(INDEX(Responses!$A$7:$ZZ$7,1,MATCH(BP$6,Responses!$1:$1,0))&amp;""="","",IF(LEFT(INDEX(Responses!$A$7:$ZZ$7,1,MATCH(BP$6,Responses!$1:$1,0)),1)="N","NA",VALUE(LEFT(INDEX(Responses!$A$7:$ZZ$7,1,MATCH(BP$6,Responses!$1:$1,0)),1))))</f>
        <v>4</v>
      </c>
      <c r="BQ12">
        <f>IF(INDEX(Responses!$A$7:$ZZ$7,1,MATCH(BQ$6,Responses!$1:$1,0))&amp;""="","",IF(LEFT(INDEX(Responses!$A$7:$ZZ$7,1,MATCH(BQ$6,Responses!$1:$1,0)),1)="N","NA",VALUE(LEFT(INDEX(Responses!$A$7:$ZZ$7,1,MATCH(BQ$6,Responses!$1:$1,0)),1))))</f>
        <v>4</v>
      </c>
      <c r="BR12">
        <f>IF(INDEX(Responses!$A$7:$ZZ$7,1,MATCH(BR$6,Responses!$1:$1,0))&amp;""="","",IF(LEFT(INDEX(Responses!$A$7:$ZZ$7,1,MATCH(BR$6,Responses!$1:$1,0)),1)="N","NA",VALUE(LEFT(INDEX(Responses!$A$7:$ZZ$7,1,MATCH(BR$6,Responses!$1:$1,0)),1))))</f>
        <v>2</v>
      </c>
      <c r="BS12">
        <f>IF(INDEX(Responses!$A$7:$ZZ$7,1,MATCH(BS$6,Responses!$1:$1,0))&amp;""="","",IF(LEFT(INDEX(Responses!$A$7:$ZZ$7,1,MATCH(BS$6,Responses!$1:$1,0)),1)="N","NA",VALUE(LEFT(INDEX(Responses!$A$7:$ZZ$7,1,MATCH(BS$6,Responses!$1:$1,0)),1))))</f>
        <v>4</v>
      </c>
      <c r="BT12">
        <f>IF(INDEX(Responses!$A$7:$ZZ$7,1,MATCH(BT$6,Responses!$1:$1,0))&amp;""="","",IF(LEFT(INDEX(Responses!$A$7:$ZZ$7,1,MATCH(BT$6,Responses!$1:$1,0)),1)="N","NA",VALUE(LEFT(INDEX(Responses!$A$7:$ZZ$7,1,MATCH(BT$6,Responses!$1:$1,0)),1))))</f>
        <v>4</v>
      </c>
      <c r="BU12">
        <f>IF(INDEX(Responses!$A$7:$ZZ$7,1,MATCH(BU$6,Responses!$1:$1,0))&amp;""="","",IF(LEFT(INDEX(Responses!$A$7:$ZZ$7,1,MATCH(BU$6,Responses!$1:$1,0)),1)="N","NA",VALUE(LEFT(INDEX(Responses!$A$7:$ZZ$7,1,MATCH(BU$6,Responses!$1:$1,0)),1))))</f>
        <v>4</v>
      </c>
      <c r="BV12">
        <f>IF(INDEX(Responses!$A$7:$ZZ$7,1,MATCH(BV$6,Responses!$1:$1,0))&amp;""="","",IF(LEFT(INDEX(Responses!$A$7:$ZZ$7,1,MATCH(BV$6,Responses!$1:$1,0)),1)="N","NA",VALUE(LEFT(INDEX(Responses!$A$7:$ZZ$7,1,MATCH(BV$6,Responses!$1:$1,0)),1))))</f>
        <v>3</v>
      </c>
      <c r="BW12">
        <f>IF(INDEX(Responses!$A$7:$ZZ$7,1,MATCH(BW$6,Responses!$1:$1,0))&amp;""="","",IF(LEFT(INDEX(Responses!$A$7:$ZZ$7,1,MATCH(BW$6,Responses!$1:$1,0)),1)="N","NA",VALUE(LEFT(INDEX(Responses!$A$7:$ZZ$7,1,MATCH(BW$6,Responses!$1:$1,0)),1))))</f>
        <v>4</v>
      </c>
      <c r="BX12">
        <f>IF(INDEX(Responses!$A$7:$ZZ$7,1,MATCH(BX$6,Responses!$1:$1,0))&amp;""="","",IF(LEFT(INDEX(Responses!$A$7:$ZZ$7,1,MATCH(BX$6,Responses!$1:$1,0)),1)="N","NA",VALUE(LEFT(INDEX(Responses!$A$7:$ZZ$7,1,MATCH(BX$6,Responses!$1:$1,0)),1))))</f>
        <v>1</v>
      </c>
      <c r="BY12">
        <f>IF(INDEX(Responses!$A$7:$ZZ$7,1,MATCH(BY$6,Responses!$1:$1,0))&amp;""="","",IF(LEFT(INDEX(Responses!$A$7:$ZZ$7,1,MATCH(BY$6,Responses!$1:$1,0)),1)="N","NA",VALUE(LEFT(INDEX(Responses!$A$7:$ZZ$7,1,MATCH(BY$6,Responses!$1:$1,0)),1))))</f>
        <v>2</v>
      </c>
      <c r="BZ12">
        <f>IF(INDEX(Responses!$A$7:$ZZ$7,1,MATCH(BZ$6,Responses!$1:$1,0))&amp;""="","",IF(LEFT(INDEX(Responses!$A$7:$ZZ$7,1,MATCH(BZ$6,Responses!$1:$1,0)),1)="N","NA",VALUE(LEFT(INDEX(Responses!$A$7:$ZZ$7,1,MATCH(BZ$6,Responses!$1:$1,0)),1))))</f>
        <v>4</v>
      </c>
      <c r="CA12">
        <f>IF(INDEX(Responses!$A$7:$ZZ$7,1,MATCH(CA$6,Responses!$1:$1,0))&amp;""="","",IF(LEFT(INDEX(Responses!$A$7:$ZZ$7,1,MATCH(CA$6,Responses!$1:$1,0)),1)="N","NA",VALUE(LEFT(INDEX(Responses!$A$7:$ZZ$7,1,MATCH(CA$6,Responses!$1:$1,0)),1))))</f>
        <v>4</v>
      </c>
      <c r="CB12">
        <f>IF(INDEX(Responses!$A$7:$ZZ$7,1,MATCH(CB$6,Responses!$1:$1,0))&amp;""="","",IF(LEFT(INDEX(Responses!$A$7:$ZZ$7,1,MATCH(CB$6,Responses!$1:$1,0)),1)="N","NA",VALUE(LEFT(INDEX(Responses!$A$7:$ZZ$7,1,MATCH(CB$6,Responses!$1:$1,0)),1))))</f>
        <v>4</v>
      </c>
      <c r="CC12">
        <f>IF(INDEX(Responses!$A$7:$ZZ$7,1,MATCH(CC$6,Responses!$1:$1,0))&amp;""="","",IF(LEFT(INDEX(Responses!$A$7:$ZZ$7,1,MATCH(CC$6,Responses!$1:$1,0)),1)="N","NA",VALUE(LEFT(INDEX(Responses!$A$7:$ZZ$7,1,MATCH(CC$6,Responses!$1:$1,0)),1))))</f>
        <v>3</v>
      </c>
      <c r="CD12">
        <f>IF(INDEX(Responses!$A$7:$ZZ$7,1,MATCH(CD$6,Responses!$1:$1,0))&amp;""="","",IF(LEFT(INDEX(Responses!$A$7:$ZZ$7,1,MATCH(CD$6,Responses!$1:$1,0)),1)="N","NA",VALUE(LEFT(INDEX(Responses!$A$7:$ZZ$7,1,MATCH(CD$6,Responses!$1:$1,0)),1))))</f>
        <v>4</v>
      </c>
      <c r="CE12">
        <f>IF(INDEX(Responses!$A$7:$ZZ$7,1,MATCH(CE$6,Responses!$1:$1,0))&amp;""="","",IF(LEFT(INDEX(Responses!$A$7:$ZZ$7,1,MATCH(CE$6,Responses!$1:$1,0)),1)="N","NA",VALUE(LEFT(INDEX(Responses!$A$7:$ZZ$7,1,MATCH(CE$6,Responses!$1:$1,0)),1))))</f>
        <v>2</v>
      </c>
      <c r="CF12">
        <f>IF(INDEX(Responses!$A$7:$ZZ$7,1,MATCH(CF$6,Responses!$1:$1,0))&amp;""="","",IF(LEFT(INDEX(Responses!$A$7:$ZZ$7,1,MATCH(CF$6,Responses!$1:$1,0)),1)="N","NA",VALUE(LEFT(INDEX(Responses!$A$7:$ZZ$7,1,MATCH(CF$6,Responses!$1:$1,0)),1))))</f>
        <v>2</v>
      </c>
      <c r="CG12">
        <f>IF(INDEX(Responses!$A$7:$ZZ$7,1,MATCH(CG$6,Responses!$1:$1,0))&amp;""="","",IF(LEFT(INDEX(Responses!$A$7:$ZZ$7,1,MATCH(CG$6,Responses!$1:$1,0)),1)="N","NA",VALUE(LEFT(INDEX(Responses!$A$7:$ZZ$7,1,MATCH(CG$6,Responses!$1:$1,0)),1))))</f>
        <v>2</v>
      </c>
      <c r="CH12">
        <f>IF(INDEX(Responses!$A$7:$ZZ$7,1,MATCH(CH$6,Responses!$1:$1,0))&amp;""="","",IF(LEFT(INDEX(Responses!$A$7:$ZZ$7,1,MATCH(CH$6,Responses!$1:$1,0)),1)="N","NA",VALUE(LEFT(INDEX(Responses!$A$7:$ZZ$7,1,MATCH(CH$6,Responses!$1:$1,0)),1))))</f>
        <v>2</v>
      </c>
      <c r="CI12">
        <f>IF(INDEX(Responses!$A$7:$ZZ$7,1,MATCH(CI$6,Responses!$1:$1,0))&amp;""="","",IF(LEFT(INDEX(Responses!$A$7:$ZZ$7,1,MATCH(CI$6,Responses!$1:$1,0)),1)="N","NA",VALUE(LEFT(INDEX(Responses!$A$7:$ZZ$7,1,MATCH(CI$6,Responses!$1:$1,0)),1))))</f>
        <v>4</v>
      </c>
      <c r="CJ12">
        <f>IF(INDEX(Responses!$A$7:$ZZ$7,1,MATCH(CJ$6,Responses!$1:$1,0))&amp;""="","",IF(LEFT(INDEX(Responses!$A$7:$ZZ$7,1,MATCH(CJ$6,Responses!$1:$1,0)),1)="N","NA",VALUE(LEFT(INDEX(Responses!$A$7:$ZZ$7,1,MATCH(CJ$6,Responses!$1:$1,0)),1))))</f>
        <v>2</v>
      </c>
      <c r="CK12">
        <f>IF(INDEX(Responses!$A$7:$ZZ$7,1,MATCH(CK$6,Responses!$1:$1,0))&amp;""="","",IF(LEFT(INDEX(Responses!$A$7:$ZZ$7,1,MATCH(CK$6,Responses!$1:$1,0)),1)="N","NA",VALUE(LEFT(INDEX(Responses!$A$7:$ZZ$7,1,MATCH(CK$6,Responses!$1:$1,0)),1))))</f>
        <v>4</v>
      </c>
      <c r="CL12">
        <f>IF(INDEX(Responses!$A$7:$ZZ$7,1,MATCH(CL$6,Responses!$1:$1,0))&amp;""="","",IF(LEFT(INDEX(Responses!$A$7:$ZZ$7,1,MATCH(CL$6,Responses!$1:$1,0)),1)="N","NA",VALUE(LEFT(INDEX(Responses!$A$7:$ZZ$7,1,MATCH(CL$6,Responses!$1:$1,0)),1))))</f>
        <v>4</v>
      </c>
      <c r="CM12">
        <f>IF(INDEX(Responses!$A$7:$ZZ$7,1,MATCH(CM$6,Responses!$1:$1,0))&amp;""="","",IF(LEFT(INDEX(Responses!$A$7:$ZZ$7,1,MATCH(CM$6,Responses!$1:$1,0)),1)="N","NA",VALUE(LEFT(INDEX(Responses!$A$7:$ZZ$7,1,MATCH(CM$6,Responses!$1:$1,0)),1))))</f>
        <v>2</v>
      </c>
      <c r="CN12">
        <f>IF(INDEX(Responses!$A$7:$ZZ$7,1,MATCH(CN$6,Responses!$1:$1,0))&amp;""="","",IF(LEFT(INDEX(Responses!$A$7:$ZZ$7,1,MATCH(CN$6,Responses!$1:$1,0)),1)="N","NA",VALUE(LEFT(INDEX(Responses!$A$7:$ZZ$7,1,MATCH(CN$6,Responses!$1:$1,0)),1))))</f>
        <v>4</v>
      </c>
      <c r="CO12" t="str">
        <f>IF(INDEX(Responses!$A$7:$ZZ$7,1,MATCH(CO$6,Responses!$1:$1,0))&amp;""="","",IF(LEFT(INDEX(Responses!$A$7:$ZZ$7,1,MATCH(CO$6,Responses!$1:$1,0)),1)="N","NA",VALUE(LEFT(INDEX(Responses!$A$7:$ZZ$7,1,MATCH(CO$6,Responses!$1:$1,0)),1))))</f>
        <v>NA</v>
      </c>
      <c r="CP12">
        <f>IF(INDEX(Responses!$A$7:$ZZ$7,1,MATCH(CP$6,Responses!$1:$1,0))&amp;""="","",IF(LEFT(INDEX(Responses!$A$7:$ZZ$7,1,MATCH(CP$6,Responses!$1:$1,0)),1)="N","NA",VALUE(LEFT(INDEX(Responses!$A$7:$ZZ$7,1,MATCH(CP$6,Responses!$1:$1,0)),1))))</f>
        <v>3</v>
      </c>
      <c r="CQ12">
        <f>IF(INDEX(Responses!$A$7:$ZZ$7,1,MATCH(CQ$6,Responses!$1:$1,0))&amp;""="","",IF(LEFT(INDEX(Responses!$A$7:$ZZ$7,1,MATCH(CQ$6,Responses!$1:$1,0)),1)="N","NA",VALUE(LEFT(INDEX(Responses!$A$7:$ZZ$7,1,MATCH(CQ$6,Responses!$1:$1,0)),1))))</f>
        <v>3</v>
      </c>
      <c r="CR12">
        <f>IF(INDEX(Responses!$A$7:$ZZ$7,1,MATCH(CR$6,Responses!$1:$1,0))&amp;""="","",IF(LEFT(INDEX(Responses!$A$7:$ZZ$7,1,MATCH(CR$6,Responses!$1:$1,0)),1)="N","NA",VALUE(LEFT(INDEX(Responses!$A$7:$ZZ$7,1,MATCH(CR$6,Responses!$1:$1,0)),1))))</f>
        <v>3</v>
      </c>
      <c r="CS12">
        <f>IF(INDEX(Responses!$A$7:$ZZ$7,1,MATCH(CS$6,Responses!$1:$1,0))&amp;""="","",IF(LEFT(INDEX(Responses!$A$7:$ZZ$7,1,MATCH(CS$6,Responses!$1:$1,0)),1)="N","NA",VALUE(LEFT(INDEX(Responses!$A$7:$ZZ$7,1,MATCH(CS$6,Responses!$1:$1,0)),1))))</f>
        <v>3</v>
      </c>
      <c r="CT12">
        <f>IF(INDEX(Responses!$A$7:$ZZ$7,1,MATCH(CT$6,Responses!$1:$1,0))&amp;""="","",IF(LEFT(INDEX(Responses!$A$7:$ZZ$7,1,MATCH(CT$6,Responses!$1:$1,0)),1)="N","NA",VALUE(LEFT(INDEX(Responses!$A$7:$ZZ$7,1,MATCH(CT$6,Responses!$1:$1,0)),1))))</f>
        <v>3</v>
      </c>
      <c r="CU12">
        <f>IF(INDEX(Responses!$A$7:$ZZ$7,1,MATCH(CU$6,Responses!$1:$1,0))&amp;""="","",IF(LEFT(INDEX(Responses!$A$7:$ZZ$7,1,MATCH(CU$6,Responses!$1:$1,0)),1)="N","NA",VALUE(LEFT(INDEX(Responses!$A$7:$ZZ$7,1,MATCH(CU$6,Responses!$1:$1,0)),1))))</f>
        <v>2</v>
      </c>
      <c r="CV12">
        <f>IF(INDEX(Responses!$A$7:$ZZ$7,1,MATCH(CV$6,Responses!$1:$1,0))&amp;""="","",IF(LEFT(INDEX(Responses!$A$7:$ZZ$7,1,MATCH(CV$6,Responses!$1:$1,0)),1)="N","NA",VALUE(LEFT(INDEX(Responses!$A$7:$ZZ$7,1,MATCH(CV$6,Responses!$1:$1,0)),1))))</f>
        <v>3</v>
      </c>
      <c r="CW12">
        <f>IF(INDEX(Responses!$A$7:$ZZ$7,1,MATCH(CW$6,Responses!$1:$1,0))&amp;""="","",IF(LEFT(INDEX(Responses!$A$7:$ZZ$7,1,MATCH(CW$6,Responses!$1:$1,0)),1)="N","NA",VALUE(LEFT(INDEX(Responses!$A$7:$ZZ$7,1,MATCH(CW$6,Responses!$1:$1,0)),1))))</f>
        <v>5</v>
      </c>
      <c r="CX12">
        <f>IF(INDEX(Responses!$A$7:$ZZ$7,1,MATCH(CX$6,Responses!$1:$1,0))&amp;""="","",IF(LEFT(INDEX(Responses!$A$7:$ZZ$7,1,MATCH(CX$6,Responses!$1:$1,0)),1)="N","NA",VALUE(LEFT(INDEX(Responses!$A$7:$ZZ$7,1,MATCH(CX$6,Responses!$1:$1,0)),1))))</f>
        <v>4</v>
      </c>
      <c r="CY12">
        <f>IF(INDEX(Responses!$A$7:$ZZ$7,1,MATCH(CY$6,Responses!$1:$1,0))&amp;""="","",IF(LEFT(INDEX(Responses!$A$7:$ZZ$7,1,MATCH(CY$6,Responses!$1:$1,0)),1)="N","NA",VALUE(LEFT(INDEX(Responses!$A$7:$ZZ$7,1,MATCH(CY$6,Responses!$1:$1,0)),1))))</f>
        <v>5</v>
      </c>
      <c r="CZ12">
        <f>IF(INDEX(Responses!$A$7:$ZZ$7,1,MATCH(CZ$6,Responses!$1:$1,0))&amp;""="","",IF(LEFT(INDEX(Responses!$A$7:$ZZ$7,1,MATCH(CZ$6,Responses!$1:$1,0)),1)="N","NA",VALUE(LEFT(INDEX(Responses!$A$7:$ZZ$7,1,MATCH(CZ$6,Responses!$1:$1,0)),1))))</f>
        <v>6</v>
      </c>
      <c r="DA12">
        <f>IF(INDEX(Responses!$A$7:$ZZ$7,1,MATCH(DA$6,Responses!$1:$1,0))&amp;""="","",IF(LEFT(INDEX(Responses!$A$7:$ZZ$7,1,MATCH(DA$6,Responses!$1:$1,0)),1)="N","NA",VALUE(LEFT(INDEX(Responses!$A$7:$ZZ$7,1,MATCH(DA$6,Responses!$1:$1,0)),1))))</f>
        <v>4</v>
      </c>
      <c r="DB12">
        <f>IF(INDEX(Responses!$A$7:$ZZ$7,1,MATCH(DB$6,Responses!$1:$1,0))&amp;""="","",IF(LEFT(INDEX(Responses!$A$7:$ZZ$7,1,MATCH(DB$6,Responses!$1:$1,0)),1)="N","NA",VALUE(LEFT(INDEX(Responses!$A$7:$ZZ$7,1,MATCH(DB$6,Responses!$1:$1,0)),1))))</f>
        <v>3</v>
      </c>
      <c r="DC12">
        <f>IF(INDEX(Responses!$A$7:$ZZ$7,1,MATCH(DC$6,Responses!$1:$1,0))&amp;""="","",IF(LEFT(INDEX(Responses!$A$7:$ZZ$7,1,MATCH(DC$6,Responses!$1:$1,0)),1)="N","NA",VALUE(LEFT(INDEX(Responses!$A$7:$ZZ$7,1,MATCH(DC$6,Responses!$1:$1,0)),1))))</f>
        <v>3</v>
      </c>
      <c r="DD12">
        <f>IF(INDEX(Responses!$A$7:$ZZ$7,1,MATCH(DD$6,Responses!$1:$1,0))&amp;""="","",IF(LEFT(INDEX(Responses!$A$7:$ZZ$7,1,MATCH(DD$6,Responses!$1:$1,0)),1)="N","NA",VALUE(LEFT(INDEX(Responses!$A$7:$ZZ$7,1,MATCH(DD$6,Responses!$1:$1,0)),1))))</f>
        <v>3</v>
      </c>
      <c r="DE12">
        <f>IF(INDEX(Responses!$A$7:$ZZ$7,1,MATCH(DE$6,Responses!$1:$1,0))&amp;""="","",IF(LEFT(INDEX(Responses!$A$7:$ZZ$7,1,MATCH(DE$6,Responses!$1:$1,0)),1)="N","NA",VALUE(LEFT(INDEX(Responses!$A$7:$ZZ$7,1,MATCH(DE$6,Responses!$1:$1,0)),1))))</f>
        <v>3</v>
      </c>
      <c r="DF12">
        <f>IF(INDEX(Responses!$A$7:$ZZ$7,1,MATCH(DF$6,Responses!$1:$1,0))&amp;""="","",IF(LEFT(INDEX(Responses!$A$7:$ZZ$7,1,MATCH(DF$6,Responses!$1:$1,0)),1)="N","NA",VALUE(LEFT(INDEX(Responses!$A$7:$ZZ$7,1,MATCH(DF$6,Responses!$1:$1,0)),1))))</f>
        <v>3</v>
      </c>
      <c r="DG12">
        <f>IF(INDEX(Responses!$A$7:$ZZ$7,1,MATCH(DG$6,Responses!$1:$1,0))&amp;""="","",IF(LEFT(INDEX(Responses!$A$7:$ZZ$7,1,MATCH(DG$6,Responses!$1:$1,0)),1)="N","NA",VALUE(LEFT(INDEX(Responses!$A$7:$ZZ$7,1,MATCH(DG$6,Responses!$1:$1,0)),1))))</f>
        <v>3</v>
      </c>
      <c r="DH12" t="str">
        <f>IF(INDEX(Responses!$A$7:$ZZ$7,1,MATCH(DH$6,Responses!$1:$1,0))&amp;""="","",IF(LEFT(INDEX(Responses!$A$7:$ZZ$7,1,MATCH(DH$6,Responses!$1:$1,0)),1)="N","NA",VALUE(LEFT(INDEX(Responses!$A$7:$ZZ$7,1,MATCH(DH$6,Responses!$1:$1,0)),1))))</f>
        <v>NA</v>
      </c>
      <c r="DI12">
        <f>IF(INDEX(Responses!$A$7:$ZZ$7,1,MATCH(DI$6,Responses!$1:$1,0))&amp;""="","",IF(LEFT(INDEX(Responses!$A$7:$ZZ$7,1,MATCH(DI$6,Responses!$1:$1,0)),1)="N","NA",VALUE(LEFT(INDEX(Responses!$A$7:$ZZ$7,1,MATCH(DI$6,Responses!$1:$1,0)),1))))</f>
        <v>3</v>
      </c>
      <c r="DJ12">
        <f>IF(INDEX(Responses!$A$7:$ZZ$7,1,MATCH(DJ$6,Responses!$1:$1,0))&amp;""="","",IF(LEFT(INDEX(Responses!$A$7:$ZZ$7,1,MATCH(DJ$6,Responses!$1:$1,0)),1)="N","NA",VALUE(LEFT(INDEX(Responses!$A$7:$ZZ$7,1,MATCH(DJ$6,Responses!$1:$1,0)),1))))</f>
        <v>3</v>
      </c>
      <c r="DK12">
        <f>IF(INDEX(Responses!$A$7:$ZZ$7,1,MATCH(DK$6,Responses!$1:$1,0))&amp;""="","",IF(LEFT(INDEX(Responses!$A$7:$ZZ$7,1,MATCH(DK$6,Responses!$1:$1,0)),1)="N","NA",VALUE(LEFT(INDEX(Responses!$A$7:$ZZ$7,1,MATCH(DK$6,Responses!$1:$1,0)),1))))</f>
        <v>3</v>
      </c>
      <c r="DL12">
        <f>IF(INDEX(Responses!$A$7:$ZZ$7,1,MATCH(DL$6,Responses!$1:$1,0))&amp;""="","",IF(LEFT(INDEX(Responses!$A$7:$ZZ$7,1,MATCH(DL$6,Responses!$1:$1,0)),1)="N","NA",VALUE(LEFT(INDEX(Responses!$A$7:$ZZ$7,1,MATCH(DL$6,Responses!$1:$1,0)),1))))</f>
        <v>4</v>
      </c>
      <c r="DM12">
        <f>IF(INDEX(Responses!$A$7:$ZZ$7,1,MATCH(DM$6,Responses!$1:$1,0))&amp;""="","",IF(LEFT(INDEX(Responses!$A$7:$ZZ$7,1,MATCH(DM$6,Responses!$1:$1,0)),1)="N","NA",VALUE(LEFT(INDEX(Responses!$A$7:$ZZ$7,1,MATCH(DM$6,Responses!$1:$1,0)),1))))</f>
        <v>3</v>
      </c>
      <c r="DN12">
        <f>IF(INDEX(Responses!$A$7:$ZZ$7,1,MATCH(DN$6,Responses!$1:$1,0))&amp;""="","",IF(LEFT(INDEX(Responses!$A$7:$ZZ$7,1,MATCH(DN$6,Responses!$1:$1,0)),1)="N","NA",VALUE(LEFT(INDEX(Responses!$A$7:$ZZ$7,1,MATCH(DN$6,Responses!$1:$1,0)),1))))</f>
        <v>2</v>
      </c>
      <c r="DO12">
        <f>IF(INDEX(Responses!$A$7:$ZZ$7,1,MATCH(DO$6,Responses!$1:$1,0))&amp;""="","",IF(LEFT(INDEX(Responses!$A$7:$ZZ$7,1,MATCH(DO$6,Responses!$1:$1,0)),1)="N","NA",VALUE(LEFT(INDEX(Responses!$A$7:$ZZ$7,1,MATCH(DO$6,Responses!$1:$1,0)),1))))</f>
        <v>3</v>
      </c>
      <c r="DP12">
        <f>IF(INDEX(Responses!$A$7:$ZZ$7,1,MATCH(DP$6,Responses!$1:$1,0))&amp;""="","",IF(LEFT(INDEX(Responses!$A$7:$ZZ$7,1,MATCH(DP$6,Responses!$1:$1,0)),1)="N","NA",VALUE(LEFT(INDEX(Responses!$A$7:$ZZ$7,1,MATCH(DP$6,Responses!$1:$1,0)),1))))</f>
        <v>5</v>
      </c>
      <c r="DQ12">
        <f>IF(INDEX(Responses!$A$7:$ZZ$7,1,MATCH(DQ$6,Responses!$1:$1,0))&amp;""="","",IF(LEFT(INDEX(Responses!$A$7:$ZZ$7,1,MATCH(DQ$6,Responses!$1:$1,0)),1)="N","NA",VALUE(LEFT(INDEX(Responses!$A$7:$ZZ$7,1,MATCH(DQ$6,Responses!$1:$1,0)),1))))</f>
        <v>4</v>
      </c>
      <c r="DR12">
        <f>IF(INDEX(Responses!$A$7:$ZZ$7,1,MATCH(DR$6,Responses!$1:$1,0))&amp;""="","",IF(LEFT(INDEX(Responses!$A$7:$ZZ$7,1,MATCH(DR$6,Responses!$1:$1,0)),1)="N","NA",VALUE(LEFT(INDEX(Responses!$A$7:$ZZ$7,1,MATCH(DR$6,Responses!$1:$1,0)),1))))</f>
        <v>4</v>
      </c>
      <c r="DS12">
        <f>IF(INDEX(Responses!$A$7:$ZZ$7,1,MATCH(DS$6,Responses!$1:$1,0))&amp;""="","",IF(LEFT(INDEX(Responses!$A$7:$ZZ$7,1,MATCH(DS$6,Responses!$1:$1,0)),1)="N","NA",VALUE(LEFT(INDEX(Responses!$A$7:$ZZ$7,1,MATCH(DS$6,Responses!$1:$1,0)),1))))</f>
        <v>6</v>
      </c>
      <c r="DT12">
        <f>IF(INDEX(Responses!$A$7:$ZZ$7,1,MATCH(DT$6,Responses!$1:$1,0))&amp;""="","",IF(LEFT(INDEX(Responses!$A$7:$ZZ$7,1,MATCH(DT$6,Responses!$1:$1,0)),1)="N","NA",VALUE(LEFT(INDEX(Responses!$A$7:$ZZ$7,1,MATCH(DT$6,Responses!$1:$1,0)),1))))</f>
        <v>4</v>
      </c>
      <c r="DU12">
        <f>IF(INDEX(Responses!$A$7:$ZZ$7,1,MATCH(DU$6,Responses!$1:$1,0))&amp;""="","",IF(LEFT(INDEX(Responses!$A$7:$ZZ$7,1,MATCH(DU$6,Responses!$1:$1,0)),1)="N","NA",VALUE(LEFT(INDEX(Responses!$A$7:$ZZ$7,1,MATCH(DU$6,Responses!$1:$1,0)),1))))</f>
        <v>4</v>
      </c>
      <c r="DV12">
        <f>IF(INDEX(Responses!$A$7:$ZZ$7,1,MATCH(DV$6,Responses!$1:$1,0))&amp;""="","",IF(LEFT(INDEX(Responses!$A$7:$ZZ$7,1,MATCH(DV$6,Responses!$1:$1,0)),1)="N","NA",VALUE(LEFT(INDEX(Responses!$A$7:$ZZ$7,1,MATCH(DV$6,Responses!$1:$1,0)),1))))</f>
        <v>3</v>
      </c>
      <c r="DW12">
        <f>IF(INDEX(Responses!$A$7:$ZZ$7,1,MATCH(DW$6,Responses!$1:$1,0))&amp;""="","",IF(LEFT(INDEX(Responses!$A$7:$ZZ$7,1,MATCH(DW$6,Responses!$1:$1,0)),1)="N","NA",VALUE(LEFT(INDEX(Responses!$A$7:$ZZ$7,1,MATCH(DW$6,Responses!$1:$1,0)),1))))</f>
        <v>3</v>
      </c>
      <c r="DX12">
        <f>IF(INDEX(Responses!$A$7:$ZZ$7,1,MATCH(DX$6,Responses!$1:$1,0))&amp;""="","",IF(LEFT(INDEX(Responses!$A$7:$ZZ$7,1,MATCH(DX$6,Responses!$1:$1,0)),1)="N","NA",VALUE(LEFT(INDEX(Responses!$A$7:$ZZ$7,1,MATCH(DX$6,Responses!$1:$1,0)),1))))</f>
        <v>3</v>
      </c>
      <c r="DY12">
        <f>IF(INDEX(Responses!$A$7:$ZZ$7,1,MATCH(DY$6,Responses!$1:$1,0))&amp;""="","",IF(LEFT(INDEX(Responses!$A$7:$ZZ$7,1,MATCH(DY$6,Responses!$1:$1,0)),1)="N","NA",VALUE(LEFT(INDEX(Responses!$A$7:$ZZ$7,1,MATCH(DY$6,Responses!$1:$1,0)),1))))</f>
        <v>3</v>
      </c>
      <c r="DZ12" t="str">
        <f>IF(INDEX(Responses!$A$7:$ZZ$7,1,MATCH(DZ$6,Responses!$1:$1,0))&amp;""="","",IF(LEFT(INDEX(Responses!$A$7:$ZZ$7,1,MATCH(DZ$6,Responses!$1:$1,0)),1)="N","NA",VALUE(LEFT(INDEX(Responses!$A$7:$ZZ$7,1,MATCH(DZ$6,Responses!$1:$1,0)),1))))</f>
        <v>NA</v>
      </c>
      <c r="EA12" t="str">
        <f>IF(INDEX(Responses!$A$7:$ZZ$7,1,MATCH(EA$6,Responses!$1:$1,0))&amp;""="","",IF(LEFT(INDEX(Responses!$A$7:$ZZ$7,1,MATCH(EA$6,Responses!$1:$1,0)),1)="N","NA",VALUE(LEFT(INDEX(Responses!$A$7:$ZZ$7,1,MATCH(EA$6,Responses!$1:$1,0)),1))))</f>
        <v>NA</v>
      </c>
      <c r="EB12">
        <f>IF(INDEX(Responses!$A$7:$ZZ$7,1,MATCH(EB$6,Responses!$1:$1,0))&amp;""="","",IF(LEFT(INDEX(Responses!$A$7:$ZZ$7,1,MATCH(EB$6,Responses!$1:$1,0)),1)="N","NA",VALUE(LEFT(INDEX(Responses!$A$7:$ZZ$7,1,MATCH(EB$6,Responses!$1:$1,0)),1))))</f>
        <v>3</v>
      </c>
      <c r="EC12">
        <f>IF(INDEX(Responses!$A$7:$ZZ$7,1,MATCH(EC$6,Responses!$1:$1,0))&amp;""="","",IF(LEFT(INDEX(Responses!$A$7:$ZZ$7,1,MATCH(EC$6,Responses!$1:$1,0)),1)="N","NA",VALUE(LEFT(INDEX(Responses!$A$7:$ZZ$7,1,MATCH(EC$6,Responses!$1:$1,0)),1))))</f>
        <v>3</v>
      </c>
      <c r="ED12">
        <f>IF(INDEX(Responses!$A$7:$ZZ$7,1,MATCH(ED$6,Responses!$1:$1,0))&amp;""="","",IF(LEFT(INDEX(Responses!$A$7:$ZZ$7,1,MATCH(ED$6,Responses!$1:$1,0)),1)="N","NA",VALUE(LEFT(INDEX(Responses!$A$7:$ZZ$7,1,MATCH(ED$6,Responses!$1:$1,0)),1))))</f>
        <v>3</v>
      </c>
      <c r="EE12">
        <f>IF(INDEX(Responses!$A$7:$ZZ$7,1,MATCH(EE$6,Responses!$1:$1,0))&amp;""="","",IF(LEFT(INDEX(Responses!$A$7:$ZZ$7,1,MATCH(EE$6,Responses!$1:$1,0)),1)="N","NA",VALUE(LEFT(INDEX(Responses!$A$7:$ZZ$7,1,MATCH(EE$6,Responses!$1:$1,0)),1))))</f>
        <v>4</v>
      </c>
      <c r="EF12">
        <f>IF(INDEX(Responses!$A$7:$ZZ$7,1,MATCH(EF$6,Responses!$1:$1,0))&amp;""="","",IF(LEFT(INDEX(Responses!$A$7:$ZZ$7,1,MATCH(EF$6,Responses!$1:$1,0)),1)="N","NA",VALUE(LEFT(INDEX(Responses!$A$7:$ZZ$7,1,MATCH(EF$6,Responses!$1:$1,0)),1))))</f>
        <v>4</v>
      </c>
      <c r="EG12">
        <f>IF(INDEX(Responses!$A$7:$ZZ$7,1,MATCH(EG$6,Responses!$1:$1,0))&amp;""="","",IF(LEFT(INDEX(Responses!$A$7:$ZZ$7,1,MATCH(EG$6,Responses!$1:$1,0)),1)="N","NA",VALUE(LEFT(INDEX(Responses!$A$7:$ZZ$7,1,MATCH(EG$6,Responses!$1:$1,0)),1))))</f>
        <v>2</v>
      </c>
      <c r="EH12">
        <f>IF(INDEX(Responses!$A$7:$ZZ$7,1,MATCH(EH$6,Responses!$1:$1,0))&amp;""="","",IF(LEFT(INDEX(Responses!$A$7:$ZZ$7,1,MATCH(EH$6,Responses!$1:$1,0)),1)="N","NA",VALUE(LEFT(INDEX(Responses!$A$7:$ZZ$7,1,MATCH(EH$6,Responses!$1:$1,0)),1))))</f>
        <v>3</v>
      </c>
      <c r="EI12">
        <f>IF(INDEX(Responses!$A$7:$ZZ$7,1,MATCH(EI$6,Responses!$1:$1,0))&amp;""="","",IF(LEFT(INDEX(Responses!$A$7:$ZZ$7,1,MATCH(EI$6,Responses!$1:$1,0)),1)="N","NA",VALUE(LEFT(INDEX(Responses!$A$7:$ZZ$7,1,MATCH(EI$6,Responses!$1:$1,0)),1))))</f>
        <v>5</v>
      </c>
      <c r="EJ12">
        <f>IF(INDEX(Responses!$A$7:$ZZ$7,1,MATCH(EJ$6,Responses!$1:$1,0))&amp;""="","",IF(LEFT(INDEX(Responses!$A$7:$ZZ$7,1,MATCH(EJ$6,Responses!$1:$1,0)),1)="N","NA",VALUE(LEFT(INDEX(Responses!$A$7:$ZZ$7,1,MATCH(EJ$6,Responses!$1:$1,0)),1))))</f>
        <v>4</v>
      </c>
      <c r="EK12">
        <f>IF(INDEX(Responses!$A$7:$ZZ$7,1,MATCH(EK$6,Responses!$1:$1,0))&amp;""="","",IF(LEFT(INDEX(Responses!$A$7:$ZZ$7,1,MATCH(EK$6,Responses!$1:$1,0)),1)="N","NA",VALUE(LEFT(INDEX(Responses!$A$7:$ZZ$7,1,MATCH(EK$6,Responses!$1:$1,0)),1))))</f>
        <v>4</v>
      </c>
      <c r="EL12">
        <f>IF(INDEX(Responses!$A$7:$ZZ$7,1,MATCH(EL$6,Responses!$1:$1,0))&amp;""="","",IF(LEFT(INDEX(Responses!$A$7:$ZZ$7,1,MATCH(EL$6,Responses!$1:$1,0)),1)="N","NA",VALUE(LEFT(INDEX(Responses!$A$7:$ZZ$7,1,MATCH(EL$6,Responses!$1:$1,0)),1))))</f>
        <v>5</v>
      </c>
      <c r="EM12">
        <f>IF(INDEX(Responses!$A$7:$ZZ$7,1,MATCH(EM$6,Responses!$1:$1,0))&amp;""="","",IF(LEFT(INDEX(Responses!$A$7:$ZZ$7,1,MATCH(EM$6,Responses!$1:$1,0)),1)="N","NA",VALUE(LEFT(INDEX(Responses!$A$7:$ZZ$7,1,MATCH(EM$6,Responses!$1:$1,0)),1))))</f>
        <v>4</v>
      </c>
      <c r="EN12">
        <f>IF(INDEX(Responses!$A$7:$ZZ$7,1,MATCH(EN$6,Responses!$1:$1,0))&amp;""="","",IF(LEFT(INDEX(Responses!$A$7:$ZZ$7,1,MATCH(EN$6,Responses!$1:$1,0)),1)="N","NA",VALUE(LEFT(INDEX(Responses!$A$7:$ZZ$7,1,MATCH(EN$6,Responses!$1:$1,0)),1))))</f>
        <v>3</v>
      </c>
      <c r="EO12">
        <f>IF(INDEX(Responses!$A$7:$ZZ$7,1,MATCH(EO$6,Responses!$1:$1,0))&amp;""="","",IF(LEFT(INDEX(Responses!$A$7:$ZZ$7,1,MATCH(EO$6,Responses!$1:$1,0)),1)="N","NA",VALUE(LEFT(INDEX(Responses!$A$7:$ZZ$7,1,MATCH(EO$6,Responses!$1:$1,0)),1))))</f>
        <v>3</v>
      </c>
      <c r="EP12">
        <f>IF(INDEX(Responses!$A$7:$ZZ$7,1,MATCH(EP$6,Responses!$1:$1,0))&amp;""="","",IF(LEFT(INDEX(Responses!$A$7:$ZZ$7,1,MATCH(EP$6,Responses!$1:$1,0)),1)="N","NA",VALUE(LEFT(INDEX(Responses!$A$7:$ZZ$7,1,MATCH(EP$6,Responses!$1:$1,0)),1))))</f>
        <v>3</v>
      </c>
      <c r="EQ12">
        <f>IF(INDEX(Responses!$A$7:$ZZ$7,1,MATCH(EQ$6,Responses!$1:$1,0))&amp;""="","",IF(LEFT(INDEX(Responses!$A$7:$ZZ$7,1,MATCH(EQ$6,Responses!$1:$1,0)),1)="N","NA",VALUE(LEFT(INDEX(Responses!$A$7:$ZZ$7,1,MATCH(EQ$6,Responses!$1:$1,0)),1))))</f>
        <v>3</v>
      </c>
      <c r="ER12">
        <f>IF(INDEX(Responses!$A$7:$ZZ$7,1,MATCH(ER$6,Responses!$1:$1,0))&amp;""="","",IF(LEFT(INDEX(Responses!$A$7:$ZZ$7,1,MATCH(ER$6,Responses!$1:$1,0)),1)="N","NA",VALUE(LEFT(INDEX(Responses!$A$7:$ZZ$7,1,MATCH(ER$6,Responses!$1:$1,0)),1))))</f>
        <v>3</v>
      </c>
      <c r="ES12" t="str">
        <f>IF(INDEX(Responses!$A$7:$ZZ$7,1,MATCH(ES$6,Responses!$1:$1,0))&amp;""="","",IF(LEFT(INDEX(Responses!$A$7:$ZZ$7,1,MATCH(ES$6,Responses!$1:$1,0)),1)="N","NA",VALUE(LEFT(INDEX(Responses!$A$7:$ZZ$7,1,MATCH(ES$6,Responses!$1:$1,0)),1))))</f>
        <v>NA</v>
      </c>
      <c r="ET12">
        <f>--ISNUMBER(SEARCH(INDEX(Items!$G:$G,MATCH(ET$1,Items!$A:$A,0)),INDEX(Responses!$A$7:$ZZ$7,1,MATCH(ET$6,Responses!$1:$1,0))))</f>
        <v>0</v>
      </c>
      <c r="EU12">
        <f>--ISNUMBER(SEARCH(INDEX(Items!$G:$G,MATCH(EU$1,Items!$A:$A,0)),INDEX(Responses!$A$7:$ZZ$7,1,MATCH(EU$6,Responses!$1:$1,0))))</f>
        <v>0</v>
      </c>
      <c r="EV12">
        <f>--ISNUMBER(SEARCH(INDEX(Items!$G:$G,MATCH(EV$1,Items!$A:$A,0)),INDEX(Responses!$A$7:$ZZ$7,1,MATCH(EV$6,Responses!$1:$1,0))))</f>
        <v>1</v>
      </c>
      <c r="EW12">
        <f>--ISNUMBER(SEARCH(INDEX(Items!$G:$G,MATCH(EW$1,Items!$A:$A,0)),INDEX(Responses!$A$7:$ZZ$7,1,MATCH(EW$6,Responses!$1:$1,0))))</f>
        <v>1</v>
      </c>
      <c r="EX12">
        <f>--ISNUMBER(SEARCH(INDEX(Items!$G:$G,MATCH(EX$1,Items!$A:$A,0)),INDEX(Responses!$A$7:$ZZ$7,1,MATCH(EX$6,Responses!$1:$1,0))))</f>
        <v>0</v>
      </c>
      <c r="EY12">
        <f>--ISNUMBER(SEARCH(INDEX(Items!$G:$G,MATCH(EY$1,Items!$A:$A,0)),INDEX(Responses!$A$7:$ZZ$7,1,MATCH(EY$6,Responses!$1:$1,0))))</f>
        <v>0</v>
      </c>
      <c r="EZ12">
        <f>--ISNUMBER(SEARCH(INDEX(Items!$G:$G,MATCH(EZ$1,Items!$A:$A,0)),INDEX(Responses!$A$7:$ZZ$7,1,MATCH(EZ$6,Responses!$1:$1,0))))</f>
        <v>1</v>
      </c>
      <c r="FA12">
        <f>--ISNUMBER(SEARCH(INDEX(Items!$G:$G,MATCH(FA$1,Items!$A:$A,0)),INDEX(Responses!$A$7:$ZZ$7,1,MATCH(FA$6,Responses!$1:$1,0))))</f>
        <v>0</v>
      </c>
      <c r="FB12">
        <f>--ISNUMBER(SEARCH(INDEX(Items!$G:$G,MATCH(FB$1,Items!$A:$A,0)),INDEX(Responses!$A$7:$ZZ$7,1,MATCH(FB$6,Responses!$1:$1,0))))</f>
        <v>0</v>
      </c>
      <c r="FC12">
        <f>--ISNUMBER(SEARCH(INDEX(Items!$G:$G,MATCH(FC$1,Items!$A:$A,0)),INDEX(Responses!$A$7:$ZZ$7,1,MATCH(FC$6,Responses!$1:$1,0))))</f>
        <v>1</v>
      </c>
      <c r="FD12">
        <f>--ISNUMBER(SEARCH(INDEX(Items!$G:$G,MATCH(FD$1,Items!$A:$A,0)),INDEX(Responses!$A$7:$ZZ$7,1,MATCH(FD$6,Responses!$1:$1,0))))</f>
        <v>1</v>
      </c>
      <c r="FE12">
        <f>--ISNUMBER(SEARCH(INDEX(Items!$G:$G,MATCH(FE$1,Items!$A:$A,0)),INDEX(Responses!$A$7:$ZZ$7,1,MATCH(FE$6,Responses!$1:$1,0))))</f>
        <v>0</v>
      </c>
      <c r="FF12">
        <f>--ISNUMBER(SEARCH(INDEX(Items!$G:$G,MATCH(FF$1,Items!$A:$A,0)),INDEX(Responses!$A$7:$ZZ$7,1,MATCH(FF$6,Responses!$1:$1,0))))</f>
        <v>0</v>
      </c>
      <c r="FG12">
        <f>--ISNUMBER(SEARCH(INDEX(Items!$G:$G,MATCH(FG$1,Items!$A:$A,0)),INDEX(Responses!$A$7:$ZZ$7,1,MATCH(FG$6,Responses!$1:$1,0))))</f>
        <v>0</v>
      </c>
      <c r="FH12">
        <f>--ISNUMBER(SEARCH(INDEX(Items!$G:$G,MATCH(FH$1,Items!$A:$A,0)),INDEX(Responses!$A$7:$ZZ$7,1,MATCH(FH$6,Responses!$1:$1,0))))</f>
        <v>0</v>
      </c>
      <c r="FI12">
        <f>--ISNUMBER(SEARCH(INDEX(Items!$G:$G,MATCH(FI$1,Items!$A:$A,0)),INDEX(Responses!$A$7:$ZZ$7,1,MATCH(FI$6,Responses!$1:$1,0))))</f>
        <v>0</v>
      </c>
      <c r="FJ12">
        <f>--ISNUMBER(SEARCH(INDEX(Items!$G:$G,MATCH(FJ$1,Items!$A:$A,0)),INDEX(Responses!$A$7:$ZZ$7,1,MATCH(FJ$6,Responses!$1:$1,0))))</f>
        <v>1</v>
      </c>
      <c r="FK12">
        <f>--ISNUMBER(SEARCH(INDEX(Items!$G:$G,MATCH(FK$1,Items!$A:$A,0)),INDEX(Responses!$A$7:$ZZ$7,1,MATCH(FK$6,Responses!$1:$1,0))))</f>
        <v>1</v>
      </c>
      <c r="FL12">
        <f>--ISNUMBER(SEARCH(INDEX(Items!$G:$G,MATCH(FL$1,Items!$A:$A,0)),INDEX(Responses!$A$7:$ZZ$7,1,MATCH(FL$6,Responses!$1:$1,0))))</f>
        <v>0</v>
      </c>
      <c r="FM12">
        <f>--ISNUMBER(SEARCH(INDEX(Items!$G:$G,MATCH(FM$1,Items!$A:$A,0)),INDEX(Responses!$A$7:$ZZ$7,1,MATCH(FM$6,Responses!$1:$1,0))))</f>
        <v>0</v>
      </c>
      <c r="FN12">
        <f>--ISNUMBER(SEARCH(INDEX(Items!$G:$G,MATCH(FN$1,Items!$A:$A,0)),INDEX(Responses!$A$7:$ZZ$7,1,MATCH(FN$6,Responses!$1:$1,0))))</f>
        <v>1</v>
      </c>
      <c r="FO12">
        <f>--ISNUMBER(SEARCH(INDEX(Items!$G:$G,MATCH(FO$1,Items!$A:$A,0)),INDEX(Responses!$A$7:$ZZ$7,1,MATCH(FO$6,Responses!$1:$1,0))))</f>
        <v>0</v>
      </c>
      <c r="FP12">
        <f>--ISNUMBER(SEARCH(INDEX(Items!$G:$G,MATCH(FP$1,Items!$A:$A,0)),INDEX(Responses!$A$7:$ZZ$7,1,MATCH(FP$6,Responses!$1:$1,0))))</f>
        <v>0</v>
      </c>
      <c r="FQ12">
        <f>--ISNUMBER(SEARCH(INDEX(Items!$G:$G,MATCH(FQ$1,Items!$A:$A,0)),INDEX(Responses!$A$7:$ZZ$7,1,MATCH(FQ$6,Responses!$1:$1,0))))</f>
        <v>0</v>
      </c>
      <c r="FR12">
        <f>--ISNUMBER(SEARCH(INDEX(Items!$G:$G,MATCH(FR$1,Items!$A:$A,0)),INDEX(Responses!$A$7:$ZZ$7,1,MATCH(FR$6,Responses!$1:$1,0))))</f>
        <v>0</v>
      </c>
      <c r="FS12">
        <f>--ISNUMBER(SEARCH(INDEX(Items!$G:$G,MATCH(FS$1,Items!$A:$A,0)),INDEX(Responses!$A$7:$ZZ$7,1,MATCH(FS$6,Responses!$1:$1,0))))</f>
        <v>0</v>
      </c>
      <c r="FT12">
        <f>--ISNUMBER(SEARCH(INDEX(Items!$G:$G,MATCH(FT$1,Items!$A:$A,0)),INDEX(Responses!$A$7:$ZZ$7,1,MATCH(FT$6,Responses!$1:$1,0))))</f>
        <v>0</v>
      </c>
      <c r="FU12">
        <f>--ISNUMBER(SEARCH(INDEX(Items!$G:$G,MATCH(FU$1,Items!$A:$A,0)),INDEX(Responses!$A$7:$ZZ$7,1,MATCH(FU$6,Responses!$1:$1,0))))</f>
        <v>0</v>
      </c>
    </row>
    <row r="13" spans="1:177" x14ac:dyDescent="0.45">
      <c r="A13" t="str">
        <f>Responses!$D$8</f>
        <v>Aisha Bello</v>
      </c>
      <c r="B13">
        <f>IF(INDEX(Responses!$A$8:$ZZ$8,1,MATCH(B$6,Responses!$1:$1,0))&amp;""="","",IF(LEFT(INDEX(Responses!$A$8:$ZZ$8,1,MATCH(B$6,Responses!$1:$1,0)),1)="N","NA",VALUE(LEFT(INDEX(Responses!$A$8:$ZZ$8,1,MATCH(B$6,Responses!$1:$1,0)),1))))</f>
        <v>3</v>
      </c>
      <c r="C13">
        <f>IF(INDEX(Responses!$A$8:$ZZ$8,1,MATCH(C$6,Responses!$1:$1,0))&amp;""="","",IF(LEFT(INDEX(Responses!$A$8:$ZZ$8,1,MATCH(C$6,Responses!$1:$1,0)),1)="N","NA",VALUE(LEFT(INDEX(Responses!$A$8:$ZZ$8,1,MATCH(C$6,Responses!$1:$1,0)),1))))</f>
        <v>1</v>
      </c>
      <c r="D13">
        <f>IF(INDEX(Responses!$A$8:$ZZ$8,1,MATCH(D$6,Responses!$1:$1,0))&amp;""="","",IF(LEFT(INDEX(Responses!$A$8:$ZZ$8,1,MATCH(D$6,Responses!$1:$1,0)),1)="N","NA",VALUE(LEFT(INDEX(Responses!$A$8:$ZZ$8,1,MATCH(D$6,Responses!$1:$1,0)),1))))</f>
        <v>4</v>
      </c>
      <c r="E13">
        <f>IF(INDEX(Responses!$A$8:$ZZ$8,1,MATCH(E$6,Responses!$1:$1,0))&amp;""="","",IF(LEFT(INDEX(Responses!$A$8:$ZZ$8,1,MATCH(E$6,Responses!$1:$1,0)),1)="N","NA",VALUE(LEFT(INDEX(Responses!$A$8:$ZZ$8,1,MATCH(E$6,Responses!$1:$1,0)),1))))</f>
        <v>1</v>
      </c>
      <c r="F13">
        <f>IF(INDEX(Responses!$A$8:$ZZ$8,1,MATCH(F$6,Responses!$1:$1,0))&amp;""="","",IF(LEFT(INDEX(Responses!$A$8:$ZZ$8,1,MATCH(F$6,Responses!$1:$1,0)),1)="N","NA",VALUE(LEFT(INDEX(Responses!$A$8:$ZZ$8,1,MATCH(F$6,Responses!$1:$1,0)),1))))</f>
        <v>1</v>
      </c>
      <c r="G13">
        <f>IF(INDEX(Responses!$A$8:$ZZ$8,1,MATCH(G$6,Responses!$1:$1,0))&amp;""="","",IF(LEFT(INDEX(Responses!$A$8:$ZZ$8,1,MATCH(G$6,Responses!$1:$1,0)),1)="N","NA",VALUE(LEFT(INDEX(Responses!$A$8:$ZZ$8,1,MATCH(G$6,Responses!$1:$1,0)),1))))</f>
        <v>3</v>
      </c>
      <c r="H13">
        <f>IF(INDEX(Responses!$A$8:$ZZ$8,1,MATCH(H$6,Responses!$1:$1,0))&amp;""="","",IF(LEFT(INDEX(Responses!$A$8:$ZZ$8,1,MATCH(H$6,Responses!$1:$1,0)),1)="N","NA",VALUE(LEFT(INDEX(Responses!$A$8:$ZZ$8,1,MATCH(H$6,Responses!$1:$1,0)),1))))</f>
        <v>2</v>
      </c>
      <c r="I13">
        <f>IF(INDEX(Responses!$A$8:$ZZ$8,1,MATCH(I$6,Responses!$1:$1,0))&amp;""="","",IF(LEFT(INDEX(Responses!$A$8:$ZZ$8,1,MATCH(I$6,Responses!$1:$1,0)),1)="N","NA",VALUE(LEFT(INDEX(Responses!$A$8:$ZZ$8,1,MATCH(I$6,Responses!$1:$1,0)),1))))</f>
        <v>4</v>
      </c>
      <c r="J13">
        <f>IF(INDEX(Responses!$A$8:$ZZ$8,1,MATCH(J$6,Responses!$1:$1,0))&amp;""="","",IF(LEFT(INDEX(Responses!$A$8:$ZZ$8,1,MATCH(J$6,Responses!$1:$1,0)),1)="N","NA",VALUE(LEFT(INDEX(Responses!$A$8:$ZZ$8,1,MATCH(J$6,Responses!$1:$1,0)),1))))</f>
        <v>3</v>
      </c>
      <c r="K13">
        <f>IF(INDEX(Responses!$A$8:$ZZ$8,1,MATCH(K$6,Responses!$1:$1,0))&amp;""="","",IF(LEFT(INDEX(Responses!$A$8:$ZZ$8,1,MATCH(K$6,Responses!$1:$1,0)),1)="N","NA",VALUE(LEFT(INDEX(Responses!$A$8:$ZZ$8,1,MATCH(K$6,Responses!$1:$1,0)),1))))</f>
        <v>4</v>
      </c>
      <c r="L13">
        <f>IF(INDEX(Responses!$A$8:$ZZ$8,1,MATCH(L$6,Responses!$1:$1,0))&amp;""="","",IF(LEFT(INDEX(Responses!$A$8:$ZZ$8,1,MATCH(L$6,Responses!$1:$1,0)),1)="N","NA",VALUE(LEFT(INDEX(Responses!$A$8:$ZZ$8,1,MATCH(L$6,Responses!$1:$1,0)),1))))</f>
        <v>3</v>
      </c>
      <c r="M13">
        <f>IF(INDEX(Responses!$A$8:$ZZ$8,1,MATCH(M$6,Responses!$1:$1,0))&amp;""="","",IF(LEFT(INDEX(Responses!$A$8:$ZZ$8,1,MATCH(M$6,Responses!$1:$1,0)),1)="N","NA",VALUE(LEFT(INDEX(Responses!$A$8:$ZZ$8,1,MATCH(M$6,Responses!$1:$1,0)),1))))</f>
        <v>3</v>
      </c>
      <c r="N13">
        <f>IF(INDEX(Responses!$A$8:$ZZ$8,1,MATCH(N$6,Responses!$1:$1,0))&amp;""="","",IF(LEFT(INDEX(Responses!$A$8:$ZZ$8,1,MATCH(N$6,Responses!$1:$1,0)),1)="N","NA",VALUE(LEFT(INDEX(Responses!$A$8:$ZZ$8,1,MATCH(N$6,Responses!$1:$1,0)),1))))</f>
        <v>4</v>
      </c>
      <c r="O13" t="str">
        <f>IF(INDEX(Responses!$A$8:$ZZ$8,1,MATCH(O$6,Responses!$1:$1,0))&amp;""="","",IF(LEFT(INDEX(Responses!$A$8:$ZZ$8,1,MATCH(O$6,Responses!$1:$1,0)),1)="N","NA",VALUE(LEFT(INDEX(Responses!$A$8:$ZZ$8,1,MATCH(O$6,Responses!$1:$1,0)),1))))</f>
        <v/>
      </c>
      <c r="P13">
        <f>IF(INDEX(Responses!$A$8:$ZZ$8,1,MATCH(P$6,Responses!$1:$1,0))&amp;""="","",IF(LEFT(INDEX(Responses!$A$8:$ZZ$8,1,MATCH(P$6,Responses!$1:$1,0)),1)="N","NA",VALUE(LEFT(INDEX(Responses!$A$8:$ZZ$8,1,MATCH(P$6,Responses!$1:$1,0)),1))))</f>
        <v>2</v>
      </c>
      <c r="Q13">
        <f>IF(INDEX(Responses!$A$8:$ZZ$8,1,MATCH(Q$6,Responses!$1:$1,0))&amp;""="","",IF(LEFT(INDEX(Responses!$A$8:$ZZ$8,1,MATCH(Q$6,Responses!$1:$1,0)),1)="N","NA",VALUE(LEFT(INDEX(Responses!$A$8:$ZZ$8,1,MATCH(Q$6,Responses!$1:$1,0)),1))))</f>
        <v>3</v>
      </c>
      <c r="R13">
        <f>IF(INDEX(Responses!$A$8:$ZZ$8,1,MATCH(R$6,Responses!$1:$1,0))&amp;""="","",IF(LEFT(INDEX(Responses!$A$8:$ZZ$8,1,MATCH(R$6,Responses!$1:$1,0)),1)="N","NA",VALUE(LEFT(INDEX(Responses!$A$8:$ZZ$8,1,MATCH(R$6,Responses!$1:$1,0)),1))))</f>
        <v>4</v>
      </c>
      <c r="S13">
        <f>IF(INDEX(Responses!$A$8:$ZZ$8,1,MATCH(S$6,Responses!$1:$1,0))&amp;""="","",IF(LEFT(INDEX(Responses!$A$8:$ZZ$8,1,MATCH(S$6,Responses!$1:$1,0)),1)="N","NA",VALUE(LEFT(INDEX(Responses!$A$8:$ZZ$8,1,MATCH(S$6,Responses!$1:$1,0)),1))))</f>
        <v>3</v>
      </c>
      <c r="T13">
        <f>IF(INDEX(Responses!$A$8:$ZZ$8,1,MATCH(T$6,Responses!$1:$1,0))&amp;""="","",IF(LEFT(INDEX(Responses!$A$8:$ZZ$8,1,MATCH(T$6,Responses!$1:$1,0)),1)="N","NA",VALUE(LEFT(INDEX(Responses!$A$8:$ZZ$8,1,MATCH(T$6,Responses!$1:$1,0)),1))))</f>
        <v>3</v>
      </c>
      <c r="U13">
        <f>IF(INDEX(Responses!$A$8:$ZZ$8,1,MATCH(U$6,Responses!$1:$1,0))&amp;""="","",IF(LEFT(INDEX(Responses!$A$8:$ZZ$8,1,MATCH(U$6,Responses!$1:$1,0)),1)="N","NA",VALUE(LEFT(INDEX(Responses!$A$8:$ZZ$8,1,MATCH(U$6,Responses!$1:$1,0)),1))))</f>
        <v>3</v>
      </c>
      <c r="V13">
        <f>IF(INDEX(Responses!$A$8:$ZZ$8,1,MATCH(V$6,Responses!$1:$1,0))&amp;""="","",IF(LEFT(INDEX(Responses!$A$8:$ZZ$8,1,MATCH(V$6,Responses!$1:$1,0)),1)="N","NA",VALUE(LEFT(INDEX(Responses!$A$8:$ZZ$8,1,MATCH(V$6,Responses!$1:$1,0)),1))))</f>
        <v>3</v>
      </c>
      <c r="W13">
        <f>IF(INDEX(Responses!$A$8:$ZZ$8,1,MATCH(W$6,Responses!$1:$1,0))&amp;""="","",IF(LEFT(INDEX(Responses!$A$8:$ZZ$8,1,MATCH(W$6,Responses!$1:$1,0)),1)="N","NA",VALUE(LEFT(INDEX(Responses!$A$8:$ZZ$8,1,MATCH(W$6,Responses!$1:$1,0)),1))))</f>
        <v>3</v>
      </c>
      <c r="X13">
        <f>IF(INDEX(Responses!$A$8:$ZZ$8,1,MATCH(X$6,Responses!$1:$1,0))&amp;""="","",IF(LEFT(INDEX(Responses!$A$8:$ZZ$8,1,MATCH(X$6,Responses!$1:$1,0)),1)="N","NA",VALUE(LEFT(INDEX(Responses!$A$8:$ZZ$8,1,MATCH(X$6,Responses!$1:$1,0)),1))))</f>
        <v>3</v>
      </c>
      <c r="Y13">
        <f>IF(INDEX(Responses!$A$8:$ZZ$8,1,MATCH(Y$6,Responses!$1:$1,0))&amp;""="","",IF(LEFT(INDEX(Responses!$A$8:$ZZ$8,1,MATCH(Y$6,Responses!$1:$1,0)),1)="N","NA",VALUE(LEFT(INDEX(Responses!$A$8:$ZZ$8,1,MATCH(Y$6,Responses!$1:$1,0)),1))))</f>
        <v>2</v>
      </c>
      <c r="Z13">
        <f>IF(INDEX(Responses!$A$8:$ZZ$8,1,MATCH(Z$6,Responses!$1:$1,0))&amp;""="","",IF(LEFT(INDEX(Responses!$A$8:$ZZ$8,1,MATCH(Z$6,Responses!$1:$1,0)),1)="N","NA",VALUE(LEFT(INDEX(Responses!$A$8:$ZZ$8,1,MATCH(Z$6,Responses!$1:$1,0)),1))))</f>
        <v>2</v>
      </c>
      <c r="AA13">
        <f>IF(INDEX(Responses!$A$8:$ZZ$8,1,MATCH(AA$6,Responses!$1:$1,0))&amp;""="","",IF(LEFT(INDEX(Responses!$A$8:$ZZ$8,1,MATCH(AA$6,Responses!$1:$1,0)),1)="N","NA",VALUE(LEFT(INDEX(Responses!$A$8:$ZZ$8,1,MATCH(AA$6,Responses!$1:$1,0)),1))))</f>
        <v>4</v>
      </c>
      <c r="AB13">
        <f>IF(INDEX(Responses!$A$8:$ZZ$8,1,MATCH(AB$6,Responses!$1:$1,0))&amp;""="","",IF(LEFT(INDEX(Responses!$A$8:$ZZ$8,1,MATCH(AB$6,Responses!$1:$1,0)),1)="N","NA",VALUE(LEFT(INDEX(Responses!$A$8:$ZZ$8,1,MATCH(AB$6,Responses!$1:$1,0)),1))))</f>
        <v>4</v>
      </c>
      <c r="AC13">
        <f>IF(INDEX(Responses!$A$8:$ZZ$8,1,MATCH(AC$6,Responses!$1:$1,0))&amp;""="","",IF(LEFT(INDEX(Responses!$A$8:$ZZ$8,1,MATCH(AC$6,Responses!$1:$1,0)),1)="N","NA",VALUE(LEFT(INDEX(Responses!$A$8:$ZZ$8,1,MATCH(AC$6,Responses!$1:$1,0)),1))))</f>
        <v>3</v>
      </c>
      <c r="AD13">
        <f>IF(INDEX(Responses!$A$8:$ZZ$8,1,MATCH(AD$6,Responses!$1:$1,0))&amp;""="","",IF(LEFT(INDEX(Responses!$A$8:$ZZ$8,1,MATCH(AD$6,Responses!$1:$1,0)),1)="N","NA",VALUE(LEFT(INDEX(Responses!$A$8:$ZZ$8,1,MATCH(AD$6,Responses!$1:$1,0)),1))))</f>
        <v>2</v>
      </c>
      <c r="AE13">
        <f>IF(INDEX(Responses!$A$8:$ZZ$8,1,MATCH(AE$6,Responses!$1:$1,0))&amp;""="","",IF(LEFT(INDEX(Responses!$A$8:$ZZ$8,1,MATCH(AE$6,Responses!$1:$1,0)),1)="N","NA",VALUE(LEFT(INDEX(Responses!$A$8:$ZZ$8,1,MATCH(AE$6,Responses!$1:$1,0)),1))))</f>
        <v>2</v>
      </c>
      <c r="AF13">
        <f>IF(INDEX(Responses!$A$8:$ZZ$8,1,MATCH(AF$6,Responses!$1:$1,0))&amp;""="","",IF(LEFT(INDEX(Responses!$A$8:$ZZ$8,1,MATCH(AF$6,Responses!$1:$1,0)),1)="N","NA",VALUE(LEFT(INDEX(Responses!$A$8:$ZZ$8,1,MATCH(AF$6,Responses!$1:$1,0)),1))))</f>
        <v>4</v>
      </c>
      <c r="AG13">
        <f>IF(INDEX(Responses!$A$8:$ZZ$8,1,MATCH(AG$6,Responses!$1:$1,0))&amp;""="","",IF(LEFT(INDEX(Responses!$A$8:$ZZ$8,1,MATCH(AG$6,Responses!$1:$1,0)),1)="N","NA",VALUE(LEFT(INDEX(Responses!$A$8:$ZZ$8,1,MATCH(AG$6,Responses!$1:$1,0)),1))))</f>
        <v>4</v>
      </c>
      <c r="AH13">
        <f>IF(INDEX(Responses!$A$8:$ZZ$8,1,MATCH(AH$6,Responses!$1:$1,0))&amp;""="","",IF(LEFT(INDEX(Responses!$A$8:$ZZ$8,1,MATCH(AH$6,Responses!$1:$1,0)),1)="N","NA",VALUE(LEFT(INDEX(Responses!$A$8:$ZZ$8,1,MATCH(AH$6,Responses!$1:$1,0)),1))))</f>
        <v>3</v>
      </c>
      <c r="AI13">
        <f>IF(INDEX(Responses!$A$8:$ZZ$8,1,MATCH(AI$6,Responses!$1:$1,0))&amp;""="","",IF(LEFT(INDEX(Responses!$A$8:$ZZ$8,1,MATCH(AI$6,Responses!$1:$1,0)),1)="N","NA",VALUE(LEFT(INDEX(Responses!$A$8:$ZZ$8,1,MATCH(AI$6,Responses!$1:$1,0)),1))))</f>
        <v>3</v>
      </c>
      <c r="AJ13">
        <f>IF(INDEX(Responses!$A$8:$ZZ$8,1,MATCH(AJ$6,Responses!$1:$1,0))&amp;""="","",IF(LEFT(INDEX(Responses!$A$8:$ZZ$8,1,MATCH(AJ$6,Responses!$1:$1,0)),1)="N","NA",VALUE(LEFT(INDEX(Responses!$A$8:$ZZ$8,1,MATCH(AJ$6,Responses!$1:$1,0)),1))))</f>
        <v>3</v>
      </c>
      <c r="AK13">
        <f>IF(INDEX(Responses!$A$8:$ZZ$8,1,MATCH(AK$6,Responses!$1:$1,0))&amp;""="","",IF(LEFT(INDEX(Responses!$A$8:$ZZ$8,1,MATCH(AK$6,Responses!$1:$1,0)),1)="N","NA",VALUE(LEFT(INDEX(Responses!$A$8:$ZZ$8,1,MATCH(AK$6,Responses!$1:$1,0)),1))))</f>
        <v>3</v>
      </c>
      <c r="AL13">
        <f>IF(INDEX(Responses!$A$8:$ZZ$8,1,MATCH(AL$6,Responses!$1:$1,0))&amp;""="","",IF(LEFT(INDEX(Responses!$A$8:$ZZ$8,1,MATCH(AL$6,Responses!$1:$1,0)),1)="N","NA",VALUE(LEFT(INDEX(Responses!$A$8:$ZZ$8,1,MATCH(AL$6,Responses!$1:$1,0)),1))))</f>
        <v>4</v>
      </c>
      <c r="AM13">
        <f>IF(INDEX(Responses!$A$8:$ZZ$8,1,MATCH(AM$6,Responses!$1:$1,0))&amp;""="","",IF(LEFT(INDEX(Responses!$A$8:$ZZ$8,1,MATCH(AM$6,Responses!$1:$1,0)),1)="N","NA",VALUE(LEFT(INDEX(Responses!$A$8:$ZZ$8,1,MATCH(AM$6,Responses!$1:$1,0)),1))))</f>
        <v>4</v>
      </c>
      <c r="AN13">
        <f>IF(INDEX(Responses!$A$8:$ZZ$8,1,MATCH(AN$6,Responses!$1:$1,0))&amp;""="","",IF(LEFT(INDEX(Responses!$A$8:$ZZ$8,1,MATCH(AN$6,Responses!$1:$1,0)),1)="N","NA",VALUE(LEFT(INDEX(Responses!$A$8:$ZZ$8,1,MATCH(AN$6,Responses!$1:$1,0)),1))))</f>
        <v>2</v>
      </c>
      <c r="AO13">
        <f>IF(INDEX(Responses!$A$8:$ZZ$8,1,MATCH(AO$6,Responses!$1:$1,0))&amp;""="","",IF(LEFT(INDEX(Responses!$A$8:$ZZ$8,1,MATCH(AO$6,Responses!$1:$1,0)),1)="N","NA",VALUE(LEFT(INDEX(Responses!$A$8:$ZZ$8,1,MATCH(AO$6,Responses!$1:$1,0)),1))))</f>
        <v>5</v>
      </c>
      <c r="AP13">
        <f>IF(INDEX(Responses!$A$8:$ZZ$8,1,MATCH(AP$6,Responses!$1:$1,0))&amp;""="","",IF(LEFT(INDEX(Responses!$A$8:$ZZ$8,1,MATCH(AP$6,Responses!$1:$1,0)),1)="N","NA",VALUE(LEFT(INDEX(Responses!$A$8:$ZZ$8,1,MATCH(AP$6,Responses!$1:$1,0)),1))))</f>
        <v>3</v>
      </c>
      <c r="AQ13">
        <f>IF(INDEX(Responses!$A$8:$ZZ$8,1,MATCH(AQ$6,Responses!$1:$1,0))&amp;""="","",IF(LEFT(INDEX(Responses!$A$8:$ZZ$8,1,MATCH(AQ$6,Responses!$1:$1,0)),1)="N","NA",VALUE(LEFT(INDEX(Responses!$A$8:$ZZ$8,1,MATCH(AQ$6,Responses!$1:$1,0)),1))))</f>
        <v>3</v>
      </c>
      <c r="AR13">
        <f>IF(INDEX(Responses!$A$8:$ZZ$8,1,MATCH(AR$6,Responses!$1:$1,0))&amp;""="","",IF(LEFT(INDEX(Responses!$A$8:$ZZ$8,1,MATCH(AR$6,Responses!$1:$1,0)),1)="N","NA",VALUE(LEFT(INDEX(Responses!$A$8:$ZZ$8,1,MATCH(AR$6,Responses!$1:$1,0)),1))))</f>
        <v>2</v>
      </c>
      <c r="AS13">
        <f>IF(INDEX(Responses!$A$8:$ZZ$8,1,MATCH(AS$6,Responses!$1:$1,0))&amp;""="","",IF(LEFT(INDEX(Responses!$A$8:$ZZ$8,1,MATCH(AS$6,Responses!$1:$1,0)),1)="N","NA",VALUE(LEFT(INDEX(Responses!$A$8:$ZZ$8,1,MATCH(AS$6,Responses!$1:$1,0)),1))))</f>
        <v>2</v>
      </c>
      <c r="AT13">
        <f>IF(INDEX(Responses!$A$8:$ZZ$8,1,MATCH(AT$6,Responses!$1:$1,0))&amp;""="","",IF(LEFT(INDEX(Responses!$A$8:$ZZ$8,1,MATCH(AT$6,Responses!$1:$1,0)),1)="N","NA",VALUE(LEFT(INDEX(Responses!$A$8:$ZZ$8,1,MATCH(AT$6,Responses!$1:$1,0)),1))))</f>
        <v>3</v>
      </c>
      <c r="AU13">
        <f>IF(INDEX(Responses!$A$8:$ZZ$8,1,MATCH(AU$6,Responses!$1:$1,0))&amp;""="","",IF(LEFT(INDEX(Responses!$A$8:$ZZ$8,1,MATCH(AU$6,Responses!$1:$1,0)),1)="N","NA",VALUE(LEFT(INDEX(Responses!$A$8:$ZZ$8,1,MATCH(AU$6,Responses!$1:$1,0)),1))))</f>
        <v>2</v>
      </c>
      <c r="AV13">
        <f>IF(INDEX(Responses!$A$8:$ZZ$8,1,MATCH(AV$6,Responses!$1:$1,0))&amp;""="","",IF(LEFT(INDEX(Responses!$A$8:$ZZ$8,1,MATCH(AV$6,Responses!$1:$1,0)),1)="N","NA",VALUE(LEFT(INDEX(Responses!$A$8:$ZZ$8,1,MATCH(AV$6,Responses!$1:$1,0)),1))))</f>
        <v>4</v>
      </c>
      <c r="AW13">
        <f>IF(INDEX(Responses!$A$8:$ZZ$8,1,MATCH(AW$6,Responses!$1:$1,0))&amp;""="","",IF(LEFT(INDEX(Responses!$A$8:$ZZ$8,1,MATCH(AW$6,Responses!$1:$1,0)),1)="N","NA",VALUE(LEFT(INDEX(Responses!$A$8:$ZZ$8,1,MATCH(AW$6,Responses!$1:$1,0)),1))))</f>
        <v>3</v>
      </c>
      <c r="AX13">
        <f>IF(INDEX(Responses!$A$8:$ZZ$8,1,MATCH(AX$6,Responses!$1:$1,0))&amp;""="","",IF(LEFT(INDEX(Responses!$A$8:$ZZ$8,1,MATCH(AX$6,Responses!$1:$1,0)),1)="N","NA",VALUE(LEFT(INDEX(Responses!$A$8:$ZZ$8,1,MATCH(AX$6,Responses!$1:$1,0)),1))))</f>
        <v>3</v>
      </c>
      <c r="AY13">
        <f>IF(INDEX(Responses!$A$8:$ZZ$8,1,MATCH(AY$6,Responses!$1:$1,0))&amp;""="","",IF(LEFT(INDEX(Responses!$A$8:$ZZ$8,1,MATCH(AY$6,Responses!$1:$1,0)),1)="N","NA",VALUE(LEFT(INDEX(Responses!$A$8:$ZZ$8,1,MATCH(AY$6,Responses!$1:$1,0)),1))))</f>
        <v>3</v>
      </c>
      <c r="AZ13">
        <f>IF(INDEX(Responses!$A$8:$ZZ$8,1,MATCH(AZ$6,Responses!$1:$1,0))&amp;""="","",IF(LEFT(INDEX(Responses!$A$8:$ZZ$8,1,MATCH(AZ$6,Responses!$1:$1,0)),1)="N","NA",VALUE(LEFT(INDEX(Responses!$A$8:$ZZ$8,1,MATCH(AZ$6,Responses!$1:$1,0)),1))))</f>
        <v>4</v>
      </c>
      <c r="BA13">
        <f>IF(INDEX(Responses!$A$8:$ZZ$8,1,MATCH(BA$6,Responses!$1:$1,0))&amp;""="","",IF(LEFT(INDEX(Responses!$A$8:$ZZ$8,1,MATCH(BA$6,Responses!$1:$1,0)),1)="N","NA",VALUE(LEFT(INDEX(Responses!$A$8:$ZZ$8,1,MATCH(BA$6,Responses!$1:$1,0)),1))))</f>
        <v>3</v>
      </c>
      <c r="BB13">
        <f>IF(INDEX(Responses!$A$8:$ZZ$8,1,MATCH(BB$6,Responses!$1:$1,0))&amp;""="","",IF(LEFT(INDEX(Responses!$A$8:$ZZ$8,1,MATCH(BB$6,Responses!$1:$1,0)),1)="N","NA",VALUE(LEFT(INDEX(Responses!$A$8:$ZZ$8,1,MATCH(BB$6,Responses!$1:$1,0)),1))))</f>
        <v>2</v>
      </c>
      <c r="BC13">
        <f>IF(INDEX(Responses!$A$8:$ZZ$8,1,MATCH(BC$6,Responses!$1:$1,0))&amp;""="","",IF(LEFT(INDEX(Responses!$A$8:$ZZ$8,1,MATCH(BC$6,Responses!$1:$1,0)),1)="N","NA",VALUE(LEFT(INDEX(Responses!$A$8:$ZZ$8,1,MATCH(BC$6,Responses!$1:$1,0)),1))))</f>
        <v>2</v>
      </c>
      <c r="BD13">
        <f>IF(INDEX(Responses!$A$8:$ZZ$8,1,MATCH(BD$6,Responses!$1:$1,0))&amp;""="","",IF(LEFT(INDEX(Responses!$A$8:$ZZ$8,1,MATCH(BD$6,Responses!$1:$1,0)),1)="N","NA",VALUE(LEFT(INDEX(Responses!$A$8:$ZZ$8,1,MATCH(BD$6,Responses!$1:$1,0)),1))))</f>
        <v>3</v>
      </c>
      <c r="BE13">
        <f>IF(INDEX(Responses!$A$8:$ZZ$8,1,MATCH(BE$6,Responses!$1:$1,0))&amp;""="","",IF(LEFT(INDEX(Responses!$A$8:$ZZ$8,1,MATCH(BE$6,Responses!$1:$1,0)),1)="N","NA",VALUE(LEFT(INDEX(Responses!$A$8:$ZZ$8,1,MATCH(BE$6,Responses!$1:$1,0)),1))))</f>
        <v>3</v>
      </c>
      <c r="BF13">
        <f>IF(INDEX(Responses!$A$8:$ZZ$8,1,MATCH(BF$6,Responses!$1:$1,0))&amp;""="","",IF(LEFT(INDEX(Responses!$A$8:$ZZ$8,1,MATCH(BF$6,Responses!$1:$1,0)),1)="N","NA",VALUE(LEFT(INDEX(Responses!$A$8:$ZZ$8,1,MATCH(BF$6,Responses!$1:$1,0)),1))))</f>
        <v>1</v>
      </c>
      <c r="BG13">
        <f>IF(INDEX(Responses!$A$8:$ZZ$8,1,MATCH(BG$6,Responses!$1:$1,0))&amp;""="","",IF(LEFT(INDEX(Responses!$A$8:$ZZ$8,1,MATCH(BG$6,Responses!$1:$1,0)),1)="N","NA",VALUE(LEFT(INDEX(Responses!$A$8:$ZZ$8,1,MATCH(BG$6,Responses!$1:$1,0)),1))))</f>
        <v>3</v>
      </c>
      <c r="BH13">
        <f>IF(INDEX(Responses!$A$8:$ZZ$8,1,MATCH(BH$6,Responses!$1:$1,0))&amp;""="","",IF(LEFT(INDEX(Responses!$A$8:$ZZ$8,1,MATCH(BH$6,Responses!$1:$1,0)),1)="N","NA",VALUE(LEFT(INDEX(Responses!$A$8:$ZZ$8,1,MATCH(BH$6,Responses!$1:$1,0)),1))))</f>
        <v>3</v>
      </c>
      <c r="BI13">
        <f>IF(INDEX(Responses!$A$8:$ZZ$8,1,MATCH(BI$6,Responses!$1:$1,0))&amp;""="","",IF(LEFT(INDEX(Responses!$A$8:$ZZ$8,1,MATCH(BI$6,Responses!$1:$1,0)),1)="N","NA",VALUE(LEFT(INDEX(Responses!$A$8:$ZZ$8,1,MATCH(BI$6,Responses!$1:$1,0)),1))))</f>
        <v>3</v>
      </c>
      <c r="BJ13">
        <f>IF(INDEX(Responses!$A$8:$ZZ$8,1,MATCH(BJ$6,Responses!$1:$1,0))&amp;""="","",IF(LEFT(INDEX(Responses!$A$8:$ZZ$8,1,MATCH(BJ$6,Responses!$1:$1,0)),1)="N","NA",VALUE(LEFT(INDEX(Responses!$A$8:$ZZ$8,1,MATCH(BJ$6,Responses!$1:$1,0)),1))))</f>
        <v>2</v>
      </c>
      <c r="BK13">
        <f>IF(INDEX(Responses!$A$8:$ZZ$8,1,MATCH(BK$6,Responses!$1:$1,0))&amp;""="","",IF(LEFT(INDEX(Responses!$A$8:$ZZ$8,1,MATCH(BK$6,Responses!$1:$1,0)),1)="N","NA",VALUE(LEFT(INDEX(Responses!$A$8:$ZZ$8,1,MATCH(BK$6,Responses!$1:$1,0)),1))))</f>
        <v>4</v>
      </c>
      <c r="BL13">
        <f>IF(INDEX(Responses!$A$8:$ZZ$8,1,MATCH(BL$6,Responses!$1:$1,0))&amp;""="","",IF(LEFT(INDEX(Responses!$A$8:$ZZ$8,1,MATCH(BL$6,Responses!$1:$1,0)),1)="N","NA",VALUE(LEFT(INDEX(Responses!$A$8:$ZZ$8,1,MATCH(BL$6,Responses!$1:$1,0)),1))))</f>
        <v>3</v>
      </c>
      <c r="BM13">
        <f>IF(INDEX(Responses!$A$8:$ZZ$8,1,MATCH(BM$6,Responses!$1:$1,0))&amp;""="","",IF(LEFT(INDEX(Responses!$A$8:$ZZ$8,1,MATCH(BM$6,Responses!$1:$1,0)),1)="N","NA",VALUE(LEFT(INDEX(Responses!$A$8:$ZZ$8,1,MATCH(BM$6,Responses!$1:$1,0)),1))))</f>
        <v>3</v>
      </c>
      <c r="BN13">
        <f>IF(INDEX(Responses!$A$8:$ZZ$8,1,MATCH(BN$6,Responses!$1:$1,0))&amp;""="","",IF(LEFT(INDEX(Responses!$A$8:$ZZ$8,1,MATCH(BN$6,Responses!$1:$1,0)),1)="N","NA",VALUE(LEFT(INDEX(Responses!$A$8:$ZZ$8,1,MATCH(BN$6,Responses!$1:$1,0)),1))))</f>
        <v>3</v>
      </c>
      <c r="BO13">
        <f>IF(INDEX(Responses!$A$8:$ZZ$8,1,MATCH(BO$6,Responses!$1:$1,0))&amp;""="","",IF(LEFT(INDEX(Responses!$A$8:$ZZ$8,1,MATCH(BO$6,Responses!$1:$1,0)),1)="N","NA",VALUE(LEFT(INDEX(Responses!$A$8:$ZZ$8,1,MATCH(BO$6,Responses!$1:$1,0)),1))))</f>
        <v>3</v>
      </c>
      <c r="BP13">
        <f>IF(INDEX(Responses!$A$8:$ZZ$8,1,MATCH(BP$6,Responses!$1:$1,0))&amp;""="","",IF(LEFT(INDEX(Responses!$A$8:$ZZ$8,1,MATCH(BP$6,Responses!$1:$1,0)),1)="N","NA",VALUE(LEFT(INDEX(Responses!$A$8:$ZZ$8,1,MATCH(BP$6,Responses!$1:$1,0)),1))))</f>
        <v>4</v>
      </c>
      <c r="BQ13">
        <f>IF(INDEX(Responses!$A$8:$ZZ$8,1,MATCH(BQ$6,Responses!$1:$1,0))&amp;""="","",IF(LEFT(INDEX(Responses!$A$8:$ZZ$8,1,MATCH(BQ$6,Responses!$1:$1,0)),1)="N","NA",VALUE(LEFT(INDEX(Responses!$A$8:$ZZ$8,1,MATCH(BQ$6,Responses!$1:$1,0)),1))))</f>
        <v>4</v>
      </c>
      <c r="BR13">
        <f>IF(INDEX(Responses!$A$8:$ZZ$8,1,MATCH(BR$6,Responses!$1:$1,0))&amp;""="","",IF(LEFT(INDEX(Responses!$A$8:$ZZ$8,1,MATCH(BR$6,Responses!$1:$1,0)),1)="N","NA",VALUE(LEFT(INDEX(Responses!$A$8:$ZZ$8,1,MATCH(BR$6,Responses!$1:$1,0)),1))))</f>
        <v>2</v>
      </c>
      <c r="BS13">
        <f>IF(INDEX(Responses!$A$8:$ZZ$8,1,MATCH(BS$6,Responses!$1:$1,0))&amp;""="","",IF(LEFT(INDEX(Responses!$A$8:$ZZ$8,1,MATCH(BS$6,Responses!$1:$1,0)),1)="N","NA",VALUE(LEFT(INDEX(Responses!$A$8:$ZZ$8,1,MATCH(BS$6,Responses!$1:$1,0)),1))))</f>
        <v>5</v>
      </c>
      <c r="BT13">
        <f>IF(INDEX(Responses!$A$8:$ZZ$8,1,MATCH(BT$6,Responses!$1:$1,0))&amp;""="","",IF(LEFT(INDEX(Responses!$A$8:$ZZ$8,1,MATCH(BT$6,Responses!$1:$1,0)),1)="N","NA",VALUE(LEFT(INDEX(Responses!$A$8:$ZZ$8,1,MATCH(BT$6,Responses!$1:$1,0)),1))))</f>
        <v>3</v>
      </c>
      <c r="BU13">
        <f>IF(INDEX(Responses!$A$8:$ZZ$8,1,MATCH(BU$6,Responses!$1:$1,0))&amp;""="","",IF(LEFT(INDEX(Responses!$A$8:$ZZ$8,1,MATCH(BU$6,Responses!$1:$1,0)),1)="N","NA",VALUE(LEFT(INDEX(Responses!$A$8:$ZZ$8,1,MATCH(BU$6,Responses!$1:$1,0)),1))))</f>
        <v>4</v>
      </c>
      <c r="BV13">
        <f>IF(INDEX(Responses!$A$8:$ZZ$8,1,MATCH(BV$6,Responses!$1:$1,0))&amp;""="","",IF(LEFT(INDEX(Responses!$A$8:$ZZ$8,1,MATCH(BV$6,Responses!$1:$1,0)),1)="N","NA",VALUE(LEFT(INDEX(Responses!$A$8:$ZZ$8,1,MATCH(BV$6,Responses!$1:$1,0)),1))))</f>
        <v>3</v>
      </c>
      <c r="BW13">
        <f>IF(INDEX(Responses!$A$8:$ZZ$8,1,MATCH(BW$6,Responses!$1:$1,0))&amp;""="","",IF(LEFT(INDEX(Responses!$A$8:$ZZ$8,1,MATCH(BW$6,Responses!$1:$1,0)),1)="N","NA",VALUE(LEFT(INDEX(Responses!$A$8:$ZZ$8,1,MATCH(BW$6,Responses!$1:$1,0)),1))))</f>
        <v>3</v>
      </c>
      <c r="BX13">
        <f>IF(INDEX(Responses!$A$8:$ZZ$8,1,MATCH(BX$6,Responses!$1:$1,0))&amp;""="","",IF(LEFT(INDEX(Responses!$A$8:$ZZ$8,1,MATCH(BX$6,Responses!$1:$1,0)),1)="N","NA",VALUE(LEFT(INDEX(Responses!$A$8:$ZZ$8,1,MATCH(BX$6,Responses!$1:$1,0)),1))))</f>
        <v>3</v>
      </c>
      <c r="BY13">
        <f>IF(INDEX(Responses!$A$8:$ZZ$8,1,MATCH(BY$6,Responses!$1:$1,0))&amp;""="","",IF(LEFT(INDEX(Responses!$A$8:$ZZ$8,1,MATCH(BY$6,Responses!$1:$1,0)),1)="N","NA",VALUE(LEFT(INDEX(Responses!$A$8:$ZZ$8,1,MATCH(BY$6,Responses!$1:$1,0)),1))))</f>
        <v>2</v>
      </c>
      <c r="BZ13">
        <f>IF(INDEX(Responses!$A$8:$ZZ$8,1,MATCH(BZ$6,Responses!$1:$1,0))&amp;""="","",IF(LEFT(INDEX(Responses!$A$8:$ZZ$8,1,MATCH(BZ$6,Responses!$1:$1,0)),1)="N","NA",VALUE(LEFT(INDEX(Responses!$A$8:$ZZ$8,1,MATCH(BZ$6,Responses!$1:$1,0)),1))))</f>
        <v>4</v>
      </c>
      <c r="CA13">
        <f>IF(INDEX(Responses!$A$8:$ZZ$8,1,MATCH(CA$6,Responses!$1:$1,0))&amp;""="","",IF(LEFT(INDEX(Responses!$A$8:$ZZ$8,1,MATCH(CA$6,Responses!$1:$1,0)),1)="N","NA",VALUE(LEFT(INDEX(Responses!$A$8:$ZZ$8,1,MATCH(CA$6,Responses!$1:$1,0)),1))))</f>
        <v>2</v>
      </c>
      <c r="CB13">
        <f>IF(INDEX(Responses!$A$8:$ZZ$8,1,MATCH(CB$6,Responses!$1:$1,0))&amp;""="","",IF(LEFT(INDEX(Responses!$A$8:$ZZ$8,1,MATCH(CB$6,Responses!$1:$1,0)),1)="N","NA",VALUE(LEFT(INDEX(Responses!$A$8:$ZZ$8,1,MATCH(CB$6,Responses!$1:$1,0)),1))))</f>
        <v>3</v>
      </c>
      <c r="CC13">
        <f>IF(INDEX(Responses!$A$8:$ZZ$8,1,MATCH(CC$6,Responses!$1:$1,0))&amp;""="","",IF(LEFT(INDEX(Responses!$A$8:$ZZ$8,1,MATCH(CC$6,Responses!$1:$1,0)),1)="N","NA",VALUE(LEFT(INDEX(Responses!$A$8:$ZZ$8,1,MATCH(CC$6,Responses!$1:$1,0)),1))))</f>
        <v>3</v>
      </c>
      <c r="CD13">
        <f>IF(INDEX(Responses!$A$8:$ZZ$8,1,MATCH(CD$6,Responses!$1:$1,0))&amp;""="","",IF(LEFT(INDEX(Responses!$A$8:$ZZ$8,1,MATCH(CD$6,Responses!$1:$1,0)),1)="N","NA",VALUE(LEFT(INDEX(Responses!$A$8:$ZZ$8,1,MATCH(CD$6,Responses!$1:$1,0)),1))))</f>
        <v>4</v>
      </c>
      <c r="CE13">
        <f>IF(INDEX(Responses!$A$8:$ZZ$8,1,MATCH(CE$6,Responses!$1:$1,0))&amp;""="","",IF(LEFT(INDEX(Responses!$A$8:$ZZ$8,1,MATCH(CE$6,Responses!$1:$1,0)),1)="N","NA",VALUE(LEFT(INDEX(Responses!$A$8:$ZZ$8,1,MATCH(CE$6,Responses!$1:$1,0)),1))))</f>
        <v>3</v>
      </c>
      <c r="CF13">
        <f>IF(INDEX(Responses!$A$8:$ZZ$8,1,MATCH(CF$6,Responses!$1:$1,0))&amp;""="","",IF(LEFT(INDEX(Responses!$A$8:$ZZ$8,1,MATCH(CF$6,Responses!$1:$1,0)),1)="N","NA",VALUE(LEFT(INDEX(Responses!$A$8:$ZZ$8,1,MATCH(CF$6,Responses!$1:$1,0)),1))))</f>
        <v>1</v>
      </c>
      <c r="CG13">
        <f>IF(INDEX(Responses!$A$8:$ZZ$8,1,MATCH(CG$6,Responses!$1:$1,0))&amp;""="","",IF(LEFT(INDEX(Responses!$A$8:$ZZ$8,1,MATCH(CG$6,Responses!$1:$1,0)),1)="N","NA",VALUE(LEFT(INDEX(Responses!$A$8:$ZZ$8,1,MATCH(CG$6,Responses!$1:$1,0)),1))))</f>
        <v>3</v>
      </c>
      <c r="CH13">
        <f>IF(INDEX(Responses!$A$8:$ZZ$8,1,MATCH(CH$6,Responses!$1:$1,0))&amp;""="","",IF(LEFT(INDEX(Responses!$A$8:$ZZ$8,1,MATCH(CH$6,Responses!$1:$1,0)),1)="N","NA",VALUE(LEFT(INDEX(Responses!$A$8:$ZZ$8,1,MATCH(CH$6,Responses!$1:$1,0)),1))))</f>
        <v>2</v>
      </c>
      <c r="CI13">
        <f>IF(INDEX(Responses!$A$8:$ZZ$8,1,MATCH(CI$6,Responses!$1:$1,0))&amp;""="","",IF(LEFT(INDEX(Responses!$A$8:$ZZ$8,1,MATCH(CI$6,Responses!$1:$1,0)),1)="N","NA",VALUE(LEFT(INDEX(Responses!$A$8:$ZZ$8,1,MATCH(CI$6,Responses!$1:$1,0)),1))))</f>
        <v>3</v>
      </c>
      <c r="CJ13">
        <f>IF(INDEX(Responses!$A$8:$ZZ$8,1,MATCH(CJ$6,Responses!$1:$1,0))&amp;""="","",IF(LEFT(INDEX(Responses!$A$8:$ZZ$8,1,MATCH(CJ$6,Responses!$1:$1,0)),1)="N","NA",VALUE(LEFT(INDEX(Responses!$A$8:$ZZ$8,1,MATCH(CJ$6,Responses!$1:$1,0)),1))))</f>
        <v>2</v>
      </c>
      <c r="CK13">
        <f>IF(INDEX(Responses!$A$8:$ZZ$8,1,MATCH(CK$6,Responses!$1:$1,0))&amp;""="","",IF(LEFT(INDEX(Responses!$A$8:$ZZ$8,1,MATCH(CK$6,Responses!$1:$1,0)),1)="N","NA",VALUE(LEFT(INDEX(Responses!$A$8:$ZZ$8,1,MATCH(CK$6,Responses!$1:$1,0)),1))))</f>
        <v>3</v>
      </c>
      <c r="CL13">
        <f>IF(INDEX(Responses!$A$8:$ZZ$8,1,MATCH(CL$6,Responses!$1:$1,0))&amp;""="","",IF(LEFT(INDEX(Responses!$A$8:$ZZ$8,1,MATCH(CL$6,Responses!$1:$1,0)),1)="N","NA",VALUE(LEFT(INDEX(Responses!$A$8:$ZZ$8,1,MATCH(CL$6,Responses!$1:$1,0)),1))))</f>
        <v>2</v>
      </c>
      <c r="CM13">
        <f>IF(INDEX(Responses!$A$8:$ZZ$8,1,MATCH(CM$6,Responses!$1:$1,0))&amp;""="","",IF(LEFT(INDEX(Responses!$A$8:$ZZ$8,1,MATCH(CM$6,Responses!$1:$1,0)),1)="N","NA",VALUE(LEFT(INDEX(Responses!$A$8:$ZZ$8,1,MATCH(CM$6,Responses!$1:$1,0)),1))))</f>
        <v>3</v>
      </c>
      <c r="CN13">
        <f>IF(INDEX(Responses!$A$8:$ZZ$8,1,MATCH(CN$6,Responses!$1:$1,0))&amp;""="","",IF(LEFT(INDEX(Responses!$A$8:$ZZ$8,1,MATCH(CN$6,Responses!$1:$1,0)),1)="N","NA",VALUE(LEFT(INDEX(Responses!$A$8:$ZZ$8,1,MATCH(CN$6,Responses!$1:$1,0)),1))))</f>
        <v>2</v>
      </c>
      <c r="CO13">
        <f>IF(INDEX(Responses!$A$8:$ZZ$8,1,MATCH(CO$6,Responses!$1:$1,0))&amp;""="","",IF(LEFT(INDEX(Responses!$A$8:$ZZ$8,1,MATCH(CO$6,Responses!$1:$1,0)),1)="N","NA",VALUE(LEFT(INDEX(Responses!$A$8:$ZZ$8,1,MATCH(CO$6,Responses!$1:$1,0)),1))))</f>
        <v>2</v>
      </c>
      <c r="CP13">
        <f>IF(INDEX(Responses!$A$8:$ZZ$8,1,MATCH(CP$6,Responses!$1:$1,0))&amp;""="","",IF(LEFT(INDEX(Responses!$A$8:$ZZ$8,1,MATCH(CP$6,Responses!$1:$1,0)),1)="N","NA",VALUE(LEFT(INDEX(Responses!$A$8:$ZZ$8,1,MATCH(CP$6,Responses!$1:$1,0)),1))))</f>
        <v>1</v>
      </c>
      <c r="CQ13">
        <f>IF(INDEX(Responses!$A$8:$ZZ$8,1,MATCH(CQ$6,Responses!$1:$1,0))&amp;""="","",IF(LEFT(INDEX(Responses!$A$8:$ZZ$8,1,MATCH(CQ$6,Responses!$1:$1,0)),1)="N","NA",VALUE(LEFT(INDEX(Responses!$A$8:$ZZ$8,1,MATCH(CQ$6,Responses!$1:$1,0)),1))))</f>
        <v>1</v>
      </c>
      <c r="CR13">
        <f>IF(INDEX(Responses!$A$8:$ZZ$8,1,MATCH(CR$6,Responses!$1:$1,0))&amp;""="","",IF(LEFT(INDEX(Responses!$A$8:$ZZ$8,1,MATCH(CR$6,Responses!$1:$1,0)),1)="N","NA",VALUE(LEFT(INDEX(Responses!$A$8:$ZZ$8,1,MATCH(CR$6,Responses!$1:$1,0)),1))))</f>
        <v>1</v>
      </c>
      <c r="CS13">
        <f>IF(INDEX(Responses!$A$8:$ZZ$8,1,MATCH(CS$6,Responses!$1:$1,0))&amp;""="","",IF(LEFT(INDEX(Responses!$A$8:$ZZ$8,1,MATCH(CS$6,Responses!$1:$1,0)),1)="N","NA",VALUE(LEFT(INDEX(Responses!$A$8:$ZZ$8,1,MATCH(CS$6,Responses!$1:$1,0)),1))))</f>
        <v>2</v>
      </c>
      <c r="CT13">
        <f>IF(INDEX(Responses!$A$8:$ZZ$8,1,MATCH(CT$6,Responses!$1:$1,0))&amp;""="","",IF(LEFT(INDEX(Responses!$A$8:$ZZ$8,1,MATCH(CT$6,Responses!$1:$1,0)),1)="N","NA",VALUE(LEFT(INDEX(Responses!$A$8:$ZZ$8,1,MATCH(CT$6,Responses!$1:$1,0)),1))))</f>
        <v>1</v>
      </c>
      <c r="CU13">
        <f>IF(INDEX(Responses!$A$8:$ZZ$8,1,MATCH(CU$6,Responses!$1:$1,0))&amp;""="","",IF(LEFT(INDEX(Responses!$A$8:$ZZ$8,1,MATCH(CU$6,Responses!$1:$1,0)),1)="N","NA",VALUE(LEFT(INDEX(Responses!$A$8:$ZZ$8,1,MATCH(CU$6,Responses!$1:$1,0)),1))))</f>
        <v>2</v>
      </c>
      <c r="CV13">
        <f>IF(INDEX(Responses!$A$8:$ZZ$8,1,MATCH(CV$6,Responses!$1:$1,0))&amp;""="","",IF(LEFT(INDEX(Responses!$A$8:$ZZ$8,1,MATCH(CV$6,Responses!$1:$1,0)),1)="N","NA",VALUE(LEFT(INDEX(Responses!$A$8:$ZZ$8,1,MATCH(CV$6,Responses!$1:$1,0)),1))))</f>
        <v>3</v>
      </c>
      <c r="CW13">
        <f>IF(INDEX(Responses!$A$8:$ZZ$8,1,MATCH(CW$6,Responses!$1:$1,0))&amp;""="","",IF(LEFT(INDEX(Responses!$A$8:$ZZ$8,1,MATCH(CW$6,Responses!$1:$1,0)),1)="N","NA",VALUE(LEFT(INDEX(Responses!$A$8:$ZZ$8,1,MATCH(CW$6,Responses!$1:$1,0)),1))))</f>
        <v>1</v>
      </c>
      <c r="CX13" t="str">
        <f>IF(INDEX(Responses!$A$8:$ZZ$8,1,MATCH(CX$6,Responses!$1:$1,0))&amp;""="","",IF(LEFT(INDEX(Responses!$A$8:$ZZ$8,1,MATCH(CX$6,Responses!$1:$1,0)),1)="N","NA",VALUE(LEFT(INDEX(Responses!$A$8:$ZZ$8,1,MATCH(CX$6,Responses!$1:$1,0)),1))))</f>
        <v>NA</v>
      </c>
      <c r="CY13" t="str">
        <f>IF(INDEX(Responses!$A$8:$ZZ$8,1,MATCH(CY$6,Responses!$1:$1,0))&amp;""="","",IF(LEFT(INDEX(Responses!$A$8:$ZZ$8,1,MATCH(CY$6,Responses!$1:$1,0)),1)="N","NA",VALUE(LEFT(INDEX(Responses!$A$8:$ZZ$8,1,MATCH(CY$6,Responses!$1:$1,0)),1))))</f>
        <v>NA</v>
      </c>
      <c r="CZ13">
        <f>IF(INDEX(Responses!$A$8:$ZZ$8,1,MATCH(CZ$6,Responses!$1:$1,0))&amp;""="","",IF(LEFT(INDEX(Responses!$A$8:$ZZ$8,1,MATCH(CZ$6,Responses!$1:$1,0)),1)="N","NA",VALUE(LEFT(INDEX(Responses!$A$8:$ZZ$8,1,MATCH(CZ$6,Responses!$1:$1,0)),1))))</f>
        <v>2</v>
      </c>
      <c r="DA13" t="str">
        <f>IF(INDEX(Responses!$A$8:$ZZ$8,1,MATCH(DA$6,Responses!$1:$1,0))&amp;""="","",IF(LEFT(INDEX(Responses!$A$8:$ZZ$8,1,MATCH(DA$6,Responses!$1:$1,0)),1)="N","NA",VALUE(LEFT(INDEX(Responses!$A$8:$ZZ$8,1,MATCH(DA$6,Responses!$1:$1,0)),1))))</f>
        <v>NA</v>
      </c>
      <c r="DB13" t="str">
        <f>IF(INDEX(Responses!$A$8:$ZZ$8,1,MATCH(DB$6,Responses!$1:$1,0))&amp;""="","",IF(LEFT(INDEX(Responses!$A$8:$ZZ$8,1,MATCH(DB$6,Responses!$1:$1,0)),1)="N","NA",VALUE(LEFT(INDEX(Responses!$A$8:$ZZ$8,1,MATCH(DB$6,Responses!$1:$1,0)),1))))</f>
        <v>NA</v>
      </c>
      <c r="DC13">
        <f>IF(INDEX(Responses!$A$8:$ZZ$8,1,MATCH(DC$6,Responses!$1:$1,0))&amp;""="","",IF(LEFT(INDEX(Responses!$A$8:$ZZ$8,1,MATCH(DC$6,Responses!$1:$1,0)),1)="N","NA",VALUE(LEFT(INDEX(Responses!$A$8:$ZZ$8,1,MATCH(DC$6,Responses!$1:$1,0)),1))))</f>
        <v>1</v>
      </c>
      <c r="DD13">
        <f>IF(INDEX(Responses!$A$8:$ZZ$8,1,MATCH(DD$6,Responses!$1:$1,0))&amp;""="","",IF(LEFT(INDEX(Responses!$A$8:$ZZ$8,1,MATCH(DD$6,Responses!$1:$1,0)),1)="N","NA",VALUE(LEFT(INDEX(Responses!$A$8:$ZZ$8,1,MATCH(DD$6,Responses!$1:$1,0)),1))))</f>
        <v>4</v>
      </c>
      <c r="DE13">
        <f>IF(INDEX(Responses!$A$8:$ZZ$8,1,MATCH(DE$6,Responses!$1:$1,0))&amp;""="","",IF(LEFT(INDEX(Responses!$A$8:$ZZ$8,1,MATCH(DE$6,Responses!$1:$1,0)),1)="N","NA",VALUE(LEFT(INDEX(Responses!$A$8:$ZZ$8,1,MATCH(DE$6,Responses!$1:$1,0)),1))))</f>
        <v>3</v>
      </c>
      <c r="DF13">
        <f>IF(INDEX(Responses!$A$8:$ZZ$8,1,MATCH(DF$6,Responses!$1:$1,0))&amp;""="","",IF(LEFT(INDEX(Responses!$A$8:$ZZ$8,1,MATCH(DF$6,Responses!$1:$1,0)),1)="N","NA",VALUE(LEFT(INDEX(Responses!$A$8:$ZZ$8,1,MATCH(DF$6,Responses!$1:$1,0)),1))))</f>
        <v>3</v>
      </c>
      <c r="DG13">
        <f>IF(INDEX(Responses!$A$8:$ZZ$8,1,MATCH(DG$6,Responses!$1:$1,0))&amp;""="","",IF(LEFT(INDEX(Responses!$A$8:$ZZ$8,1,MATCH(DG$6,Responses!$1:$1,0)),1)="N","NA",VALUE(LEFT(INDEX(Responses!$A$8:$ZZ$8,1,MATCH(DG$6,Responses!$1:$1,0)),1))))</f>
        <v>3</v>
      </c>
      <c r="DH13">
        <f>IF(INDEX(Responses!$A$8:$ZZ$8,1,MATCH(DH$6,Responses!$1:$1,0))&amp;""="","",IF(LEFT(INDEX(Responses!$A$8:$ZZ$8,1,MATCH(DH$6,Responses!$1:$1,0)),1)="N","NA",VALUE(LEFT(INDEX(Responses!$A$8:$ZZ$8,1,MATCH(DH$6,Responses!$1:$1,0)),1))))</f>
        <v>3</v>
      </c>
      <c r="DI13">
        <f>IF(INDEX(Responses!$A$8:$ZZ$8,1,MATCH(DI$6,Responses!$1:$1,0))&amp;""="","",IF(LEFT(INDEX(Responses!$A$8:$ZZ$8,1,MATCH(DI$6,Responses!$1:$1,0)),1)="N","NA",VALUE(LEFT(INDEX(Responses!$A$8:$ZZ$8,1,MATCH(DI$6,Responses!$1:$1,0)),1))))</f>
        <v>2</v>
      </c>
      <c r="DJ13">
        <f>IF(INDEX(Responses!$A$8:$ZZ$8,1,MATCH(DJ$6,Responses!$1:$1,0))&amp;""="","",IF(LEFT(INDEX(Responses!$A$8:$ZZ$8,1,MATCH(DJ$6,Responses!$1:$1,0)),1)="N","NA",VALUE(LEFT(INDEX(Responses!$A$8:$ZZ$8,1,MATCH(DJ$6,Responses!$1:$1,0)),1))))</f>
        <v>3</v>
      </c>
      <c r="DK13">
        <f>IF(INDEX(Responses!$A$8:$ZZ$8,1,MATCH(DK$6,Responses!$1:$1,0))&amp;""="","",IF(LEFT(INDEX(Responses!$A$8:$ZZ$8,1,MATCH(DK$6,Responses!$1:$1,0)),1)="N","NA",VALUE(LEFT(INDEX(Responses!$A$8:$ZZ$8,1,MATCH(DK$6,Responses!$1:$1,0)),1))))</f>
        <v>3</v>
      </c>
      <c r="DL13">
        <f>IF(INDEX(Responses!$A$8:$ZZ$8,1,MATCH(DL$6,Responses!$1:$1,0))&amp;""="","",IF(LEFT(INDEX(Responses!$A$8:$ZZ$8,1,MATCH(DL$6,Responses!$1:$1,0)),1)="N","NA",VALUE(LEFT(INDEX(Responses!$A$8:$ZZ$8,1,MATCH(DL$6,Responses!$1:$1,0)),1))))</f>
        <v>3</v>
      </c>
      <c r="DM13">
        <f>IF(INDEX(Responses!$A$8:$ZZ$8,1,MATCH(DM$6,Responses!$1:$1,0))&amp;""="","",IF(LEFT(INDEX(Responses!$A$8:$ZZ$8,1,MATCH(DM$6,Responses!$1:$1,0)),1)="N","NA",VALUE(LEFT(INDEX(Responses!$A$8:$ZZ$8,1,MATCH(DM$6,Responses!$1:$1,0)),1))))</f>
        <v>3</v>
      </c>
      <c r="DN13">
        <f>IF(INDEX(Responses!$A$8:$ZZ$8,1,MATCH(DN$6,Responses!$1:$1,0))&amp;""="","",IF(LEFT(INDEX(Responses!$A$8:$ZZ$8,1,MATCH(DN$6,Responses!$1:$1,0)),1)="N","NA",VALUE(LEFT(INDEX(Responses!$A$8:$ZZ$8,1,MATCH(DN$6,Responses!$1:$1,0)),1))))</f>
        <v>3</v>
      </c>
      <c r="DO13">
        <f>IF(INDEX(Responses!$A$8:$ZZ$8,1,MATCH(DO$6,Responses!$1:$1,0))&amp;""="","",IF(LEFT(INDEX(Responses!$A$8:$ZZ$8,1,MATCH(DO$6,Responses!$1:$1,0)),1)="N","NA",VALUE(LEFT(INDEX(Responses!$A$8:$ZZ$8,1,MATCH(DO$6,Responses!$1:$1,0)),1))))</f>
        <v>4</v>
      </c>
      <c r="DP13">
        <f>IF(INDEX(Responses!$A$8:$ZZ$8,1,MATCH(DP$6,Responses!$1:$1,0))&amp;""="","",IF(LEFT(INDEX(Responses!$A$8:$ZZ$8,1,MATCH(DP$6,Responses!$1:$1,0)),1)="N","NA",VALUE(LEFT(INDEX(Responses!$A$8:$ZZ$8,1,MATCH(DP$6,Responses!$1:$1,0)),1))))</f>
        <v>2</v>
      </c>
      <c r="DQ13" t="str">
        <f>IF(INDEX(Responses!$A$8:$ZZ$8,1,MATCH(DQ$6,Responses!$1:$1,0))&amp;""="","",IF(LEFT(INDEX(Responses!$A$8:$ZZ$8,1,MATCH(DQ$6,Responses!$1:$1,0)),1)="N","NA",VALUE(LEFT(INDEX(Responses!$A$8:$ZZ$8,1,MATCH(DQ$6,Responses!$1:$1,0)),1))))</f>
        <v>NA</v>
      </c>
      <c r="DR13" t="str">
        <f>IF(INDEX(Responses!$A$8:$ZZ$8,1,MATCH(DR$6,Responses!$1:$1,0))&amp;""="","",IF(LEFT(INDEX(Responses!$A$8:$ZZ$8,1,MATCH(DR$6,Responses!$1:$1,0)),1)="N","NA",VALUE(LEFT(INDEX(Responses!$A$8:$ZZ$8,1,MATCH(DR$6,Responses!$1:$1,0)),1))))</f>
        <v>NA</v>
      </c>
      <c r="DS13">
        <f>IF(INDEX(Responses!$A$8:$ZZ$8,1,MATCH(DS$6,Responses!$1:$1,0))&amp;""="","",IF(LEFT(INDEX(Responses!$A$8:$ZZ$8,1,MATCH(DS$6,Responses!$1:$1,0)),1)="N","NA",VALUE(LEFT(INDEX(Responses!$A$8:$ZZ$8,1,MATCH(DS$6,Responses!$1:$1,0)),1))))</f>
        <v>3</v>
      </c>
      <c r="DT13" t="str">
        <f>IF(INDEX(Responses!$A$8:$ZZ$8,1,MATCH(DT$6,Responses!$1:$1,0))&amp;""="","",IF(LEFT(INDEX(Responses!$A$8:$ZZ$8,1,MATCH(DT$6,Responses!$1:$1,0)),1)="N","NA",VALUE(LEFT(INDEX(Responses!$A$8:$ZZ$8,1,MATCH(DT$6,Responses!$1:$1,0)),1))))</f>
        <v>NA</v>
      </c>
      <c r="DU13" t="str">
        <f>IF(INDEX(Responses!$A$8:$ZZ$8,1,MATCH(DU$6,Responses!$1:$1,0))&amp;""="","",IF(LEFT(INDEX(Responses!$A$8:$ZZ$8,1,MATCH(DU$6,Responses!$1:$1,0)),1)="N","NA",VALUE(LEFT(INDEX(Responses!$A$8:$ZZ$8,1,MATCH(DU$6,Responses!$1:$1,0)),1))))</f>
        <v>NA</v>
      </c>
      <c r="DV13">
        <f>IF(INDEX(Responses!$A$8:$ZZ$8,1,MATCH(DV$6,Responses!$1:$1,0))&amp;""="","",IF(LEFT(INDEX(Responses!$A$8:$ZZ$8,1,MATCH(DV$6,Responses!$1:$1,0)),1)="N","NA",VALUE(LEFT(INDEX(Responses!$A$8:$ZZ$8,1,MATCH(DV$6,Responses!$1:$1,0)),1))))</f>
        <v>2</v>
      </c>
      <c r="DW13">
        <f>IF(INDEX(Responses!$A$8:$ZZ$8,1,MATCH(DW$6,Responses!$1:$1,0))&amp;""="","",IF(LEFT(INDEX(Responses!$A$8:$ZZ$8,1,MATCH(DW$6,Responses!$1:$1,0)),1)="N","NA",VALUE(LEFT(INDEX(Responses!$A$8:$ZZ$8,1,MATCH(DW$6,Responses!$1:$1,0)),1))))</f>
        <v>5</v>
      </c>
      <c r="DX13">
        <f>IF(INDEX(Responses!$A$8:$ZZ$8,1,MATCH(DX$6,Responses!$1:$1,0))&amp;""="","",IF(LEFT(INDEX(Responses!$A$8:$ZZ$8,1,MATCH(DX$6,Responses!$1:$1,0)),1)="N","NA",VALUE(LEFT(INDEX(Responses!$A$8:$ZZ$8,1,MATCH(DX$6,Responses!$1:$1,0)),1))))</f>
        <v>4</v>
      </c>
      <c r="DY13">
        <f>IF(INDEX(Responses!$A$8:$ZZ$8,1,MATCH(DY$6,Responses!$1:$1,0))&amp;""="","",IF(LEFT(INDEX(Responses!$A$8:$ZZ$8,1,MATCH(DY$6,Responses!$1:$1,0)),1)="N","NA",VALUE(LEFT(INDEX(Responses!$A$8:$ZZ$8,1,MATCH(DY$6,Responses!$1:$1,0)),1))))</f>
        <v>4</v>
      </c>
      <c r="DZ13">
        <f>IF(INDEX(Responses!$A$8:$ZZ$8,1,MATCH(DZ$6,Responses!$1:$1,0))&amp;""="","",IF(LEFT(INDEX(Responses!$A$8:$ZZ$8,1,MATCH(DZ$6,Responses!$1:$1,0)),1)="N","NA",VALUE(LEFT(INDEX(Responses!$A$8:$ZZ$8,1,MATCH(DZ$6,Responses!$1:$1,0)),1))))</f>
        <v>4</v>
      </c>
      <c r="EA13">
        <f>IF(INDEX(Responses!$A$8:$ZZ$8,1,MATCH(EA$6,Responses!$1:$1,0))&amp;""="","",IF(LEFT(INDEX(Responses!$A$8:$ZZ$8,1,MATCH(EA$6,Responses!$1:$1,0)),1)="N","NA",VALUE(LEFT(INDEX(Responses!$A$8:$ZZ$8,1,MATCH(EA$6,Responses!$1:$1,0)),1))))</f>
        <v>3</v>
      </c>
      <c r="EB13">
        <f>IF(INDEX(Responses!$A$8:$ZZ$8,1,MATCH(EB$6,Responses!$1:$1,0))&amp;""="","",IF(LEFT(INDEX(Responses!$A$8:$ZZ$8,1,MATCH(EB$6,Responses!$1:$1,0)),1)="N","NA",VALUE(LEFT(INDEX(Responses!$A$8:$ZZ$8,1,MATCH(EB$6,Responses!$1:$1,0)),1))))</f>
        <v>3</v>
      </c>
      <c r="EC13">
        <f>IF(INDEX(Responses!$A$8:$ZZ$8,1,MATCH(EC$6,Responses!$1:$1,0))&amp;""="","",IF(LEFT(INDEX(Responses!$A$8:$ZZ$8,1,MATCH(EC$6,Responses!$1:$1,0)),1)="N","NA",VALUE(LEFT(INDEX(Responses!$A$8:$ZZ$8,1,MATCH(EC$6,Responses!$1:$1,0)),1))))</f>
        <v>2</v>
      </c>
      <c r="ED13">
        <f>IF(INDEX(Responses!$A$8:$ZZ$8,1,MATCH(ED$6,Responses!$1:$1,0))&amp;""="","",IF(LEFT(INDEX(Responses!$A$8:$ZZ$8,1,MATCH(ED$6,Responses!$1:$1,0)),1)="N","NA",VALUE(LEFT(INDEX(Responses!$A$8:$ZZ$8,1,MATCH(ED$6,Responses!$1:$1,0)),1))))</f>
        <v>2</v>
      </c>
      <c r="EE13">
        <f>IF(INDEX(Responses!$A$8:$ZZ$8,1,MATCH(EE$6,Responses!$1:$1,0))&amp;""="","",IF(LEFT(INDEX(Responses!$A$8:$ZZ$8,1,MATCH(EE$6,Responses!$1:$1,0)),1)="N","NA",VALUE(LEFT(INDEX(Responses!$A$8:$ZZ$8,1,MATCH(EE$6,Responses!$1:$1,0)),1))))</f>
        <v>4</v>
      </c>
      <c r="EF13">
        <f>IF(INDEX(Responses!$A$8:$ZZ$8,1,MATCH(EF$6,Responses!$1:$1,0))&amp;""="","",IF(LEFT(INDEX(Responses!$A$8:$ZZ$8,1,MATCH(EF$6,Responses!$1:$1,0)),1)="N","NA",VALUE(LEFT(INDEX(Responses!$A$8:$ZZ$8,1,MATCH(EF$6,Responses!$1:$1,0)),1))))</f>
        <v>2</v>
      </c>
      <c r="EG13">
        <f>IF(INDEX(Responses!$A$8:$ZZ$8,1,MATCH(EG$6,Responses!$1:$1,0))&amp;""="","",IF(LEFT(INDEX(Responses!$A$8:$ZZ$8,1,MATCH(EG$6,Responses!$1:$1,0)),1)="N","NA",VALUE(LEFT(INDEX(Responses!$A$8:$ZZ$8,1,MATCH(EG$6,Responses!$1:$1,0)),1))))</f>
        <v>3</v>
      </c>
      <c r="EH13">
        <f>IF(INDEX(Responses!$A$8:$ZZ$8,1,MATCH(EH$6,Responses!$1:$1,0))&amp;""="","",IF(LEFT(INDEX(Responses!$A$8:$ZZ$8,1,MATCH(EH$6,Responses!$1:$1,0)),1)="N","NA",VALUE(LEFT(INDEX(Responses!$A$8:$ZZ$8,1,MATCH(EH$6,Responses!$1:$1,0)),1))))</f>
        <v>4</v>
      </c>
      <c r="EI13">
        <f>IF(INDEX(Responses!$A$8:$ZZ$8,1,MATCH(EI$6,Responses!$1:$1,0))&amp;""="","",IF(LEFT(INDEX(Responses!$A$8:$ZZ$8,1,MATCH(EI$6,Responses!$1:$1,0)),1)="N","NA",VALUE(LEFT(INDEX(Responses!$A$8:$ZZ$8,1,MATCH(EI$6,Responses!$1:$1,0)),1))))</f>
        <v>3</v>
      </c>
      <c r="EJ13" t="str">
        <f>IF(INDEX(Responses!$A$8:$ZZ$8,1,MATCH(EJ$6,Responses!$1:$1,0))&amp;""="","",IF(LEFT(INDEX(Responses!$A$8:$ZZ$8,1,MATCH(EJ$6,Responses!$1:$1,0)),1)="N","NA",VALUE(LEFT(INDEX(Responses!$A$8:$ZZ$8,1,MATCH(EJ$6,Responses!$1:$1,0)),1))))</f>
        <v>NA</v>
      </c>
      <c r="EK13" t="str">
        <f>IF(INDEX(Responses!$A$8:$ZZ$8,1,MATCH(EK$6,Responses!$1:$1,0))&amp;""="","",IF(LEFT(INDEX(Responses!$A$8:$ZZ$8,1,MATCH(EK$6,Responses!$1:$1,0)),1)="N","NA",VALUE(LEFT(INDEX(Responses!$A$8:$ZZ$8,1,MATCH(EK$6,Responses!$1:$1,0)),1))))</f>
        <v>NA</v>
      </c>
      <c r="EL13">
        <f>IF(INDEX(Responses!$A$8:$ZZ$8,1,MATCH(EL$6,Responses!$1:$1,0))&amp;""="","",IF(LEFT(INDEX(Responses!$A$8:$ZZ$8,1,MATCH(EL$6,Responses!$1:$1,0)),1)="N","NA",VALUE(LEFT(INDEX(Responses!$A$8:$ZZ$8,1,MATCH(EL$6,Responses!$1:$1,0)),1))))</f>
        <v>3</v>
      </c>
      <c r="EM13" t="str">
        <f>IF(INDEX(Responses!$A$8:$ZZ$8,1,MATCH(EM$6,Responses!$1:$1,0))&amp;""="","",IF(LEFT(INDEX(Responses!$A$8:$ZZ$8,1,MATCH(EM$6,Responses!$1:$1,0)),1)="N","NA",VALUE(LEFT(INDEX(Responses!$A$8:$ZZ$8,1,MATCH(EM$6,Responses!$1:$1,0)),1))))</f>
        <v>NA</v>
      </c>
      <c r="EN13" t="str">
        <f>IF(INDEX(Responses!$A$8:$ZZ$8,1,MATCH(EN$6,Responses!$1:$1,0))&amp;""="","",IF(LEFT(INDEX(Responses!$A$8:$ZZ$8,1,MATCH(EN$6,Responses!$1:$1,0)),1)="N","NA",VALUE(LEFT(INDEX(Responses!$A$8:$ZZ$8,1,MATCH(EN$6,Responses!$1:$1,0)),1))))</f>
        <v>NA</v>
      </c>
      <c r="EO13">
        <f>IF(INDEX(Responses!$A$8:$ZZ$8,1,MATCH(EO$6,Responses!$1:$1,0))&amp;""="","",IF(LEFT(INDEX(Responses!$A$8:$ZZ$8,1,MATCH(EO$6,Responses!$1:$1,0)),1)="N","NA",VALUE(LEFT(INDEX(Responses!$A$8:$ZZ$8,1,MATCH(EO$6,Responses!$1:$1,0)),1))))</f>
        <v>2</v>
      </c>
      <c r="EP13">
        <f>IF(INDEX(Responses!$A$8:$ZZ$8,1,MATCH(EP$6,Responses!$1:$1,0))&amp;""="","",IF(LEFT(INDEX(Responses!$A$8:$ZZ$8,1,MATCH(EP$6,Responses!$1:$1,0)),1)="N","NA",VALUE(LEFT(INDEX(Responses!$A$8:$ZZ$8,1,MATCH(EP$6,Responses!$1:$1,0)),1))))</f>
        <v>5</v>
      </c>
      <c r="EQ13">
        <f>IF(INDEX(Responses!$A$8:$ZZ$8,1,MATCH(EQ$6,Responses!$1:$1,0))&amp;""="","",IF(LEFT(INDEX(Responses!$A$8:$ZZ$8,1,MATCH(EQ$6,Responses!$1:$1,0)),1)="N","NA",VALUE(LEFT(INDEX(Responses!$A$8:$ZZ$8,1,MATCH(EQ$6,Responses!$1:$1,0)),1))))</f>
        <v>4</v>
      </c>
      <c r="ER13">
        <f>IF(INDEX(Responses!$A$8:$ZZ$8,1,MATCH(ER$6,Responses!$1:$1,0))&amp;""="","",IF(LEFT(INDEX(Responses!$A$8:$ZZ$8,1,MATCH(ER$6,Responses!$1:$1,0)),1)="N","NA",VALUE(LEFT(INDEX(Responses!$A$8:$ZZ$8,1,MATCH(ER$6,Responses!$1:$1,0)),1))))</f>
        <v>4</v>
      </c>
      <c r="ES13">
        <f>IF(INDEX(Responses!$A$8:$ZZ$8,1,MATCH(ES$6,Responses!$1:$1,0))&amp;""="","",IF(LEFT(INDEX(Responses!$A$8:$ZZ$8,1,MATCH(ES$6,Responses!$1:$1,0)),1)="N","NA",VALUE(LEFT(INDEX(Responses!$A$8:$ZZ$8,1,MATCH(ES$6,Responses!$1:$1,0)),1))))</f>
        <v>4</v>
      </c>
      <c r="ET13">
        <f>--ISNUMBER(SEARCH(INDEX(Items!$G:$G,MATCH(ET$1,Items!$A:$A,0)),INDEX(Responses!$A$8:$ZZ$8,1,MATCH(ET$6,Responses!$1:$1,0))))</f>
        <v>1</v>
      </c>
      <c r="EU13">
        <f>--ISNUMBER(SEARCH(INDEX(Items!$G:$G,MATCH(EU$1,Items!$A:$A,0)),INDEX(Responses!$A$8:$ZZ$8,1,MATCH(EU$6,Responses!$1:$1,0))))</f>
        <v>0</v>
      </c>
      <c r="EV13">
        <f>--ISNUMBER(SEARCH(INDEX(Items!$G:$G,MATCH(EV$1,Items!$A:$A,0)),INDEX(Responses!$A$8:$ZZ$8,1,MATCH(EV$6,Responses!$1:$1,0))))</f>
        <v>0</v>
      </c>
      <c r="EW13">
        <f>--ISNUMBER(SEARCH(INDEX(Items!$G:$G,MATCH(EW$1,Items!$A:$A,0)),INDEX(Responses!$A$8:$ZZ$8,1,MATCH(EW$6,Responses!$1:$1,0))))</f>
        <v>0</v>
      </c>
      <c r="EX13">
        <f>--ISNUMBER(SEARCH(INDEX(Items!$G:$G,MATCH(EX$1,Items!$A:$A,0)),INDEX(Responses!$A$8:$ZZ$8,1,MATCH(EX$6,Responses!$1:$1,0))))</f>
        <v>0</v>
      </c>
      <c r="EY13">
        <f>--ISNUMBER(SEARCH(INDEX(Items!$G:$G,MATCH(EY$1,Items!$A:$A,0)),INDEX(Responses!$A$8:$ZZ$8,1,MATCH(EY$6,Responses!$1:$1,0))))</f>
        <v>0</v>
      </c>
      <c r="EZ13">
        <f>--ISNUMBER(SEARCH(INDEX(Items!$G:$G,MATCH(EZ$1,Items!$A:$A,0)),INDEX(Responses!$A$8:$ZZ$8,1,MATCH(EZ$6,Responses!$1:$1,0))))</f>
        <v>0</v>
      </c>
      <c r="FA13">
        <f>--ISNUMBER(SEARCH(INDEX(Items!$G:$G,MATCH(FA$1,Items!$A:$A,0)),INDEX(Responses!$A$8:$ZZ$8,1,MATCH(FA$6,Responses!$1:$1,0))))</f>
        <v>0</v>
      </c>
      <c r="FB13">
        <f>--ISNUMBER(SEARCH(INDEX(Items!$G:$G,MATCH(FB$1,Items!$A:$A,0)),INDEX(Responses!$A$8:$ZZ$8,1,MATCH(FB$6,Responses!$1:$1,0))))</f>
        <v>1</v>
      </c>
      <c r="FC13">
        <f>--ISNUMBER(SEARCH(INDEX(Items!$G:$G,MATCH(FC$1,Items!$A:$A,0)),INDEX(Responses!$A$8:$ZZ$8,1,MATCH(FC$6,Responses!$1:$1,0))))</f>
        <v>1</v>
      </c>
      <c r="FD13">
        <f>--ISNUMBER(SEARCH(INDEX(Items!$G:$G,MATCH(FD$1,Items!$A:$A,0)),INDEX(Responses!$A$8:$ZZ$8,1,MATCH(FD$6,Responses!$1:$1,0))))</f>
        <v>0</v>
      </c>
      <c r="FE13">
        <f>--ISNUMBER(SEARCH(INDEX(Items!$G:$G,MATCH(FE$1,Items!$A:$A,0)),INDEX(Responses!$A$8:$ZZ$8,1,MATCH(FE$6,Responses!$1:$1,0))))</f>
        <v>0</v>
      </c>
      <c r="FF13">
        <f>--ISNUMBER(SEARCH(INDEX(Items!$G:$G,MATCH(FF$1,Items!$A:$A,0)),INDEX(Responses!$A$8:$ZZ$8,1,MATCH(FF$6,Responses!$1:$1,0))))</f>
        <v>0</v>
      </c>
      <c r="FG13">
        <f>--ISNUMBER(SEARCH(INDEX(Items!$G:$G,MATCH(FG$1,Items!$A:$A,0)),INDEX(Responses!$A$8:$ZZ$8,1,MATCH(FG$6,Responses!$1:$1,0))))</f>
        <v>0</v>
      </c>
      <c r="FH13">
        <f>--ISNUMBER(SEARCH(INDEX(Items!$G:$G,MATCH(FH$1,Items!$A:$A,0)),INDEX(Responses!$A$8:$ZZ$8,1,MATCH(FH$6,Responses!$1:$1,0))))</f>
        <v>0</v>
      </c>
      <c r="FI13">
        <f>--ISNUMBER(SEARCH(INDEX(Items!$G:$G,MATCH(FI$1,Items!$A:$A,0)),INDEX(Responses!$A$8:$ZZ$8,1,MATCH(FI$6,Responses!$1:$1,0))))</f>
        <v>1</v>
      </c>
      <c r="FJ13">
        <f>--ISNUMBER(SEARCH(INDEX(Items!$G:$G,MATCH(FJ$1,Items!$A:$A,0)),INDEX(Responses!$A$8:$ZZ$8,1,MATCH(FJ$6,Responses!$1:$1,0))))</f>
        <v>1</v>
      </c>
      <c r="FK13">
        <f>--ISNUMBER(SEARCH(INDEX(Items!$G:$G,MATCH(FK$1,Items!$A:$A,0)),INDEX(Responses!$A$8:$ZZ$8,1,MATCH(FK$6,Responses!$1:$1,0))))</f>
        <v>0</v>
      </c>
      <c r="FL13">
        <f>--ISNUMBER(SEARCH(INDEX(Items!$G:$G,MATCH(FL$1,Items!$A:$A,0)),INDEX(Responses!$A$8:$ZZ$8,1,MATCH(FL$6,Responses!$1:$1,0))))</f>
        <v>0</v>
      </c>
      <c r="FM13">
        <f>--ISNUMBER(SEARCH(INDEX(Items!$G:$G,MATCH(FM$1,Items!$A:$A,0)),INDEX(Responses!$A$8:$ZZ$8,1,MATCH(FM$6,Responses!$1:$1,0))))</f>
        <v>0</v>
      </c>
      <c r="FN13">
        <f>--ISNUMBER(SEARCH(INDEX(Items!$G:$G,MATCH(FN$1,Items!$A:$A,0)),INDEX(Responses!$A$8:$ZZ$8,1,MATCH(FN$6,Responses!$1:$1,0))))</f>
        <v>0</v>
      </c>
      <c r="FO13">
        <f>--ISNUMBER(SEARCH(INDEX(Items!$G:$G,MATCH(FO$1,Items!$A:$A,0)),INDEX(Responses!$A$8:$ZZ$8,1,MATCH(FO$6,Responses!$1:$1,0))))</f>
        <v>0</v>
      </c>
      <c r="FP13">
        <f>--ISNUMBER(SEARCH(INDEX(Items!$G:$G,MATCH(FP$1,Items!$A:$A,0)),INDEX(Responses!$A$8:$ZZ$8,1,MATCH(FP$6,Responses!$1:$1,0))))</f>
        <v>0</v>
      </c>
      <c r="FQ13">
        <f>--ISNUMBER(SEARCH(INDEX(Items!$G:$G,MATCH(FQ$1,Items!$A:$A,0)),INDEX(Responses!$A$8:$ZZ$8,1,MATCH(FQ$6,Responses!$1:$1,0))))</f>
        <v>1</v>
      </c>
      <c r="FR13">
        <f>--ISNUMBER(SEARCH(INDEX(Items!$G:$G,MATCH(FR$1,Items!$A:$A,0)),INDEX(Responses!$A$8:$ZZ$8,1,MATCH(FR$6,Responses!$1:$1,0))))</f>
        <v>0</v>
      </c>
      <c r="FS13">
        <f>--ISNUMBER(SEARCH(INDEX(Items!$G:$G,MATCH(FS$1,Items!$A:$A,0)),INDEX(Responses!$A$8:$ZZ$8,1,MATCH(FS$6,Responses!$1:$1,0))))</f>
        <v>1</v>
      </c>
      <c r="FT13">
        <f>--ISNUMBER(SEARCH(INDEX(Items!$G:$G,MATCH(FT$1,Items!$A:$A,0)),INDEX(Responses!$A$8:$ZZ$8,1,MATCH(FT$6,Responses!$1:$1,0))))</f>
        <v>0</v>
      </c>
      <c r="FU13">
        <f>--ISNUMBER(SEARCH(INDEX(Items!$G:$G,MATCH(FU$1,Items!$A:$A,0)),INDEX(Responses!$A$8:$ZZ$8,1,MATCH(FU$6,Responses!$1:$1,0))))</f>
        <v>1</v>
      </c>
    </row>
    <row r="14" spans="1:177" x14ac:dyDescent="0.45">
      <c r="A14" t="str">
        <f>Responses!$D$9</f>
        <v>Jonas Weber</v>
      </c>
      <c r="B14">
        <f>IF(INDEX(Responses!$A$9:$ZZ$9,1,MATCH(B$6,Responses!$1:$1,0))&amp;""="","",IF(LEFT(INDEX(Responses!$A$9:$ZZ$9,1,MATCH(B$6,Responses!$1:$1,0)),1)="N","NA",VALUE(LEFT(INDEX(Responses!$A$9:$ZZ$9,1,MATCH(B$6,Responses!$1:$1,0)),1))))</f>
        <v>3</v>
      </c>
      <c r="C14">
        <f>IF(INDEX(Responses!$A$9:$ZZ$9,1,MATCH(C$6,Responses!$1:$1,0))&amp;""="","",IF(LEFT(INDEX(Responses!$A$9:$ZZ$9,1,MATCH(C$6,Responses!$1:$1,0)),1)="N","NA",VALUE(LEFT(INDEX(Responses!$A$9:$ZZ$9,1,MATCH(C$6,Responses!$1:$1,0)),1))))</f>
        <v>1</v>
      </c>
      <c r="D14">
        <f>IF(INDEX(Responses!$A$9:$ZZ$9,1,MATCH(D$6,Responses!$1:$1,0))&amp;""="","",IF(LEFT(INDEX(Responses!$A$9:$ZZ$9,1,MATCH(D$6,Responses!$1:$1,0)),1)="N","NA",VALUE(LEFT(INDEX(Responses!$A$9:$ZZ$9,1,MATCH(D$6,Responses!$1:$1,0)),1))))</f>
        <v>2</v>
      </c>
      <c r="E14">
        <f>IF(INDEX(Responses!$A$9:$ZZ$9,1,MATCH(E$6,Responses!$1:$1,0))&amp;""="","",IF(LEFT(INDEX(Responses!$A$9:$ZZ$9,1,MATCH(E$6,Responses!$1:$1,0)),1)="N","NA",VALUE(LEFT(INDEX(Responses!$A$9:$ZZ$9,1,MATCH(E$6,Responses!$1:$1,0)),1))))</f>
        <v>1</v>
      </c>
      <c r="F14">
        <f>IF(INDEX(Responses!$A$9:$ZZ$9,1,MATCH(F$6,Responses!$1:$1,0))&amp;""="","",IF(LEFT(INDEX(Responses!$A$9:$ZZ$9,1,MATCH(F$6,Responses!$1:$1,0)),1)="N","NA",VALUE(LEFT(INDEX(Responses!$A$9:$ZZ$9,1,MATCH(F$6,Responses!$1:$1,0)),1))))</f>
        <v>1</v>
      </c>
      <c r="G14">
        <f>IF(INDEX(Responses!$A$9:$ZZ$9,1,MATCH(G$6,Responses!$1:$1,0))&amp;""="","",IF(LEFT(INDEX(Responses!$A$9:$ZZ$9,1,MATCH(G$6,Responses!$1:$1,0)),1)="N","NA",VALUE(LEFT(INDEX(Responses!$A$9:$ZZ$9,1,MATCH(G$6,Responses!$1:$1,0)),1))))</f>
        <v>3</v>
      </c>
      <c r="H14">
        <f>IF(INDEX(Responses!$A$9:$ZZ$9,1,MATCH(H$6,Responses!$1:$1,0))&amp;""="","",IF(LEFT(INDEX(Responses!$A$9:$ZZ$9,1,MATCH(H$6,Responses!$1:$1,0)),1)="N","NA",VALUE(LEFT(INDEX(Responses!$A$9:$ZZ$9,1,MATCH(H$6,Responses!$1:$1,0)),1))))</f>
        <v>3</v>
      </c>
      <c r="I14">
        <f>IF(INDEX(Responses!$A$9:$ZZ$9,1,MATCH(I$6,Responses!$1:$1,0))&amp;""="","",IF(LEFT(INDEX(Responses!$A$9:$ZZ$9,1,MATCH(I$6,Responses!$1:$1,0)),1)="N","NA",VALUE(LEFT(INDEX(Responses!$A$9:$ZZ$9,1,MATCH(I$6,Responses!$1:$1,0)),1))))</f>
        <v>3</v>
      </c>
      <c r="J14">
        <f>IF(INDEX(Responses!$A$9:$ZZ$9,1,MATCH(J$6,Responses!$1:$1,0))&amp;""="","",IF(LEFT(INDEX(Responses!$A$9:$ZZ$9,1,MATCH(J$6,Responses!$1:$1,0)),1)="N","NA",VALUE(LEFT(INDEX(Responses!$A$9:$ZZ$9,1,MATCH(J$6,Responses!$1:$1,0)),1))))</f>
        <v>4</v>
      </c>
      <c r="K14">
        <f>IF(INDEX(Responses!$A$9:$ZZ$9,1,MATCH(K$6,Responses!$1:$1,0))&amp;""="","",IF(LEFT(INDEX(Responses!$A$9:$ZZ$9,1,MATCH(K$6,Responses!$1:$1,0)),1)="N","NA",VALUE(LEFT(INDEX(Responses!$A$9:$ZZ$9,1,MATCH(K$6,Responses!$1:$1,0)),1))))</f>
        <v>3</v>
      </c>
      <c r="L14">
        <f>IF(INDEX(Responses!$A$9:$ZZ$9,1,MATCH(L$6,Responses!$1:$1,0))&amp;""="","",IF(LEFT(INDEX(Responses!$A$9:$ZZ$9,1,MATCH(L$6,Responses!$1:$1,0)),1)="N","NA",VALUE(LEFT(INDEX(Responses!$A$9:$ZZ$9,1,MATCH(L$6,Responses!$1:$1,0)),1))))</f>
        <v>4</v>
      </c>
      <c r="M14">
        <f>IF(INDEX(Responses!$A$9:$ZZ$9,1,MATCH(M$6,Responses!$1:$1,0))&amp;""="","",IF(LEFT(INDEX(Responses!$A$9:$ZZ$9,1,MATCH(M$6,Responses!$1:$1,0)),1)="N","NA",VALUE(LEFT(INDEX(Responses!$A$9:$ZZ$9,1,MATCH(M$6,Responses!$1:$1,0)),1))))</f>
        <v>4</v>
      </c>
      <c r="N14">
        <f>IF(INDEX(Responses!$A$9:$ZZ$9,1,MATCH(N$6,Responses!$1:$1,0))&amp;""="","",IF(LEFT(INDEX(Responses!$A$9:$ZZ$9,1,MATCH(N$6,Responses!$1:$1,0)),1)="N","NA",VALUE(LEFT(INDEX(Responses!$A$9:$ZZ$9,1,MATCH(N$6,Responses!$1:$1,0)),1))))</f>
        <v>3</v>
      </c>
      <c r="O14">
        <f>IF(INDEX(Responses!$A$9:$ZZ$9,1,MATCH(O$6,Responses!$1:$1,0))&amp;""="","",IF(LEFT(INDEX(Responses!$A$9:$ZZ$9,1,MATCH(O$6,Responses!$1:$1,0)),1)="N","NA",VALUE(LEFT(INDEX(Responses!$A$9:$ZZ$9,1,MATCH(O$6,Responses!$1:$1,0)),1))))</f>
        <v>2</v>
      </c>
      <c r="P14">
        <f>IF(INDEX(Responses!$A$9:$ZZ$9,1,MATCH(P$6,Responses!$1:$1,0))&amp;""="","",IF(LEFT(INDEX(Responses!$A$9:$ZZ$9,1,MATCH(P$6,Responses!$1:$1,0)),1)="N","NA",VALUE(LEFT(INDEX(Responses!$A$9:$ZZ$9,1,MATCH(P$6,Responses!$1:$1,0)),1))))</f>
        <v>2</v>
      </c>
      <c r="Q14">
        <f>IF(INDEX(Responses!$A$9:$ZZ$9,1,MATCH(Q$6,Responses!$1:$1,0))&amp;""="","",IF(LEFT(INDEX(Responses!$A$9:$ZZ$9,1,MATCH(Q$6,Responses!$1:$1,0)),1)="N","NA",VALUE(LEFT(INDEX(Responses!$A$9:$ZZ$9,1,MATCH(Q$6,Responses!$1:$1,0)),1))))</f>
        <v>3</v>
      </c>
      <c r="R14">
        <f>IF(INDEX(Responses!$A$9:$ZZ$9,1,MATCH(R$6,Responses!$1:$1,0))&amp;""="","",IF(LEFT(INDEX(Responses!$A$9:$ZZ$9,1,MATCH(R$6,Responses!$1:$1,0)),1)="N","NA",VALUE(LEFT(INDEX(Responses!$A$9:$ZZ$9,1,MATCH(R$6,Responses!$1:$1,0)),1))))</f>
        <v>3</v>
      </c>
      <c r="S14">
        <f>IF(INDEX(Responses!$A$9:$ZZ$9,1,MATCH(S$6,Responses!$1:$1,0))&amp;""="","",IF(LEFT(INDEX(Responses!$A$9:$ZZ$9,1,MATCH(S$6,Responses!$1:$1,0)),1)="N","NA",VALUE(LEFT(INDEX(Responses!$A$9:$ZZ$9,1,MATCH(S$6,Responses!$1:$1,0)),1))))</f>
        <v>2</v>
      </c>
      <c r="T14">
        <f>IF(INDEX(Responses!$A$9:$ZZ$9,1,MATCH(T$6,Responses!$1:$1,0))&amp;""="","",IF(LEFT(INDEX(Responses!$A$9:$ZZ$9,1,MATCH(T$6,Responses!$1:$1,0)),1)="N","NA",VALUE(LEFT(INDEX(Responses!$A$9:$ZZ$9,1,MATCH(T$6,Responses!$1:$1,0)),1))))</f>
        <v>3</v>
      </c>
      <c r="U14">
        <f>IF(INDEX(Responses!$A$9:$ZZ$9,1,MATCH(U$6,Responses!$1:$1,0))&amp;""="","",IF(LEFT(INDEX(Responses!$A$9:$ZZ$9,1,MATCH(U$6,Responses!$1:$1,0)),1)="N","NA",VALUE(LEFT(INDEX(Responses!$A$9:$ZZ$9,1,MATCH(U$6,Responses!$1:$1,0)),1))))</f>
        <v>4</v>
      </c>
      <c r="V14">
        <f>IF(INDEX(Responses!$A$9:$ZZ$9,1,MATCH(V$6,Responses!$1:$1,0))&amp;""="","",IF(LEFT(INDEX(Responses!$A$9:$ZZ$9,1,MATCH(V$6,Responses!$1:$1,0)),1)="N","NA",VALUE(LEFT(INDEX(Responses!$A$9:$ZZ$9,1,MATCH(V$6,Responses!$1:$1,0)),1))))</f>
        <v>3</v>
      </c>
      <c r="W14">
        <f>IF(INDEX(Responses!$A$9:$ZZ$9,1,MATCH(W$6,Responses!$1:$1,0))&amp;""="","",IF(LEFT(INDEX(Responses!$A$9:$ZZ$9,1,MATCH(W$6,Responses!$1:$1,0)),1)="N","NA",VALUE(LEFT(INDEX(Responses!$A$9:$ZZ$9,1,MATCH(W$6,Responses!$1:$1,0)),1))))</f>
        <v>3</v>
      </c>
      <c r="X14">
        <f>IF(INDEX(Responses!$A$9:$ZZ$9,1,MATCH(X$6,Responses!$1:$1,0))&amp;""="","",IF(LEFT(INDEX(Responses!$A$9:$ZZ$9,1,MATCH(X$6,Responses!$1:$1,0)),1)="N","NA",VALUE(LEFT(INDEX(Responses!$A$9:$ZZ$9,1,MATCH(X$6,Responses!$1:$1,0)),1))))</f>
        <v>3</v>
      </c>
      <c r="Y14">
        <f>IF(INDEX(Responses!$A$9:$ZZ$9,1,MATCH(Y$6,Responses!$1:$1,0))&amp;""="","",IF(LEFT(INDEX(Responses!$A$9:$ZZ$9,1,MATCH(Y$6,Responses!$1:$1,0)),1)="N","NA",VALUE(LEFT(INDEX(Responses!$A$9:$ZZ$9,1,MATCH(Y$6,Responses!$1:$1,0)),1))))</f>
        <v>4</v>
      </c>
      <c r="Z14">
        <f>IF(INDEX(Responses!$A$9:$ZZ$9,1,MATCH(Z$6,Responses!$1:$1,0))&amp;""="","",IF(LEFT(INDEX(Responses!$A$9:$ZZ$9,1,MATCH(Z$6,Responses!$1:$1,0)),1)="N","NA",VALUE(LEFT(INDEX(Responses!$A$9:$ZZ$9,1,MATCH(Z$6,Responses!$1:$1,0)),1))))</f>
        <v>3</v>
      </c>
      <c r="AA14">
        <f>IF(INDEX(Responses!$A$9:$ZZ$9,1,MATCH(AA$6,Responses!$1:$1,0))&amp;""="","",IF(LEFT(INDEX(Responses!$A$9:$ZZ$9,1,MATCH(AA$6,Responses!$1:$1,0)),1)="N","NA",VALUE(LEFT(INDEX(Responses!$A$9:$ZZ$9,1,MATCH(AA$6,Responses!$1:$1,0)),1))))</f>
        <v>4</v>
      </c>
      <c r="AB14">
        <f>IF(INDEX(Responses!$A$9:$ZZ$9,1,MATCH(AB$6,Responses!$1:$1,0))&amp;""="","",IF(LEFT(INDEX(Responses!$A$9:$ZZ$9,1,MATCH(AB$6,Responses!$1:$1,0)),1)="N","NA",VALUE(LEFT(INDEX(Responses!$A$9:$ZZ$9,1,MATCH(AB$6,Responses!$1:$1,0)),1))))</f>
        <v>3</v>
      </c>
      <c r="AC14">
        <f>IF(INDEX(Responses!$A$9:$ZZ$9,1,MATCH(AC$6,Responses!$1:$1,0))&amp;""="","",IF(LEFT(INDEX(Responses!$A$9:$ZZ$9,1,MATCH(AC$6,Responses!$1:$1,0)),1)="N","NA",VALUE(LEFT(INDEX(Responses!$A$9:$ZZ$9,1,MATCH(AC$6,Responses!$1:$1,0)),1))))</f>
        <v>3</v>
      </c>
      <c r="AD14">
        <f>IF(INDEX(Responses!$A$9:$ZZ$9,1,MATCH(AD$6,Responses!$1:$1,0))&amp;""="","",IF(LEFT(INDEX(Responses!$A$9:$ZZ$9,1,MATCH(AD$6,Responses!$1:$1,0)),1)="N","NA",VALUE(LEFT(INDEX(Responses!$A$9:$ZZ$9,1,MATCH(AD$6,Responses!$1:$1,0)),1))))</f>
        <v>2</v>
      </c>
      <c r="AE14">
        <f>IF(INDEX(Responses!$A$9:$ZZ$9,1,MATCH(AE$6,Responses!$1:$1,0))&amp;""="","",IF(LEFT(INDEX(Responses!$A$9:$ZZ$9,1,MATCH(AE$6,Responses!$1:$1,0)),1)="N","NA",VALUE(LEFT(INDEX(Responses!$A$9:$ZZ$9,1,MATCH(AE$6,Responses!$1:$1,0)),1))))</f>
        <v>3</v>
      </c>
      <c r="AF14">
        <f>IF(INDEX(Responses!$A$9:$ZZ$9,1,MATCH(AF$6,Responses!$1:$1,0))&amp;""="","",IF(LEFT(INDEX(Responses!$A$9:$ZZ$9,1,MATCH(AF$6,Responses!$1:$1,0)),1)="N","NA",VALUE(LEFT(INDEX(Responses!$A$9:$ZZ$9,1,MATCH(AF$6,Responses!$1:$1,0)),1))))</f>
        <v>3</v>
      </c>
      <c r="AG14">
        <f>IF(INDEX(Responses!$A$9:$ZZ$9,1,MATCH(AG$6,Responses!$1:$1,0))&amp;""="","",IF(LEFT(INDEX(Responses!$A$9:$ZZ$9,1,MATCH(AG$6,Responses!$1:$1,0)),1)="N","NA",VALUE(LEFT(INDEX(Responses!$A$9:$ZZ$9,1,MATCH(AG$6,Responses!$1:$1,0)),1))))</f>
        <v>4</v>
      </c>
      <c r="AH14">
        <f>IF(INDEX(Responses!$A$9:$ZZ$9,1,MATCH(AH$6,Responses!$1:$1,0))&amp;""="","",IF(LEFT(INDEX(Responses!$A$9:$ZZ$9,1,MATCH(AH$6,Responses!$1:$1,0)),1)="N","NA",VALUE(LEFT(INDEX(Responses!$A$9:$ZZ$9,1,MATCH(AH$6,Responses!$1:$1,0)),1))))</f>
        <v>4</v>
      </c>
      <c r="AI14">
        <f>IF(INDEX(Responses!$A$9:$ZZ$9,1,MATCH(AI$6,Responses!$1:$1,0))&amp;""="","",IF(LEFT(INDEX(Responses!$A$9:$ZZ$9,1,MATCH(AI$6,Responses!$1:$1,0)),1)="N","NA",VALUE(LEFT(INDEX(Responses!$A$9:$ZZ$9,1,MATCH(AI$6,Responses!$1:$1,0)),1))))</f>
        <v>4</v>
      </c>
      <c r="AJ14">
        <f>IF(INDEX(Responses!$A$9:$ZZ$9,1,MATCH(AJ$6,Responses!$1:$1,0))&amp;""="","",IF(LEFT(INDEX(Responses!$A$9:$ZZ$9,1,MATCH(AJ$6,Responses!$1:$1,0)),1)="N","NA",VALUE(LEFT(INDEX(Responses!$A$9:$ZZ$9,1,MATCH(AJ$6,Responses!$1:$1,0)),1))))</f>
        <v>4</v>
      </c>
      <c r="AK14">
        <f>IF(INDEX(Responses!$A$9:$ZZ$9,1,MATCH(AK$6,Responses!$1:$1,0))&amp;""="","",IF(LEFT(INDEX(Responses!$A$9:$ZZ$9,1,MATCH(AK$6,Responses!$1:$1,0)),1)="N","NA",VALUE(LEFT(INDEX(Responses!$A$9:$ZZ$9,1,MATCH(AK$6,Responses!$1:$1,0)),1))))</f>
        <v>4</v>
      </c>
      <c r="AL14">
        <f>IF(INDEX(Responses!$A$9:$ZZ$9,1,MATCH(AL$6,Responses!$1:$1,0))&amp;""="","",IF(LEFT(INDEX(Responses!$A$9:$ZZ$9,1,MATCH(AL$6,Responses!$1:$1,0)),1)="N","NA",VALUE(LEFT(INDEX(Responses!$A$9:$ZZ$9,1,MATCH(AL$6,Responses!$1:$1,0)),1))))</f>
        <v>4</v>
      </c>
      <c r="AM14">
        <f>IF(INDEX(Responses!$A$9:$ZZ$9,1,MATCH(AM$6,Responses!$1:$1,0))&amp;""="","",IF(LEFT(INDEX(Responses!$A$9:$ZZ$9,1,MATCH(AM$6,Responses!$1:$1,0)),1)="N","NA",VALUE(LEFT(INDEX(Responses!$A$9:$ZZ$9,1,MATCH(AM$6,Responses!$1:$1,0)),1))))</f>
        <v>4</v>
      </c>
      <c r="AN14">
        <f>IF(INDEX(Responses!$A$9:$ZZ$9,1,MATCH(AN$6,Responses!$1:$1,0))&amp;""="","",IF(LEFT(INDEX(Responses!$A$9:$ZZ$9,1,MATCH(AN$6,Responses!$1:$1,0)),1)="N","NA",VALUE(LEFT(INDEX(Responses!$A$9:$ZZ$9,1,MATCH(AN$6,Responses!$1:$1,0)),1))))</f>
        <v>4</v>
      </c>
      <c r="AO14">
        <f>IF(INDEX(Responses!$A$9:$ZZ$9,1,MATCH(AO$6,Responses!$1:$1,0))&amp;""="","",IF(LEFT(INDEX(Responses!$A$9:$ZZ$9,1,MATCH(AO$6,Responses!$1:$1,0)),1)="N","NA",VALUE(LEFT(INDEX(Responses!$A$9:$ZZ$9,1,MATCH(AO$6,Responses!$1:$1,0)),1))))</f>
        <v>4</v>
      </c>
      <c r="AP14">
        <f>IF(INDEX(Responses!$A$9:$ZZ$9,1,MATCH(AP$6,Responses!$1:$1,0))&amp;""="","",IF(LEFT(INDEX(Responses!$A$9:$ZZ$9,1,MATCH(AP$6,Responses!$1:$1,0)),1)="N","NA",VALUE(LEFT(INDEX(Responses!$A$9:$ZZ$9,1,MATCH(AP$6,Responses!$1:$1,0)),1))))</f>
        <v>4</v>
      </c>
      <c r="AQ14">
        <f>IF(INDEX(Responses!$A$9:$ZZ$9,1,MATCH(AQ$6,Responses!$1:$1,0))&amp;""="","",IF(LEFT(INDEX(Responses!$A$9:$ZZ$9,1,MATCH(AQ$6,Responses!$1:$1,0)),1)="N","NA",VALUE(LEFT(INDEX(Responses!$A$9:$ZZ$9,1,MATCH(AQ$6,Responses!$1:$1,0)),1))))</f>
        <v>4</v>
      </c>
      <c r="AR14">
        <f>IF(INDEX(Responses!$A$9:$ZZ$9,1,MATCH(AR$6,Responses!$1:$1,0))&amp;""="","",IF(LEFT(INDEX(Responses!$A$9:$ZZ$9,1,MATCH(AR$6,Responses!$1:$1,0)),1)="N","NA",VALUE(LEFT(INDEX(Responses!$A$9:$ZZ$9,1,MATCH(AR$6,Responses!$1:$1,0)),1))))</f>
        <v>4</v>
      </c>
      <c r="AS14">
        <f>IF(INDEX(Responses!$A$9:$ZZ$9,1,MATCH(AS$6,Responses!$1:$1,0))&amp;""="","",IF(LEFT(INDEX(Responses!$A$9:$ZZ$9,1,MATCH(AS$6,Responses!$1:$1,0)),1)="N","NA",VALUE(LEFT(INDEX(Responses!$A$9:$ZZ$9,1,MATCH(AS$6,Responses!$1:$1,0)),1))))</f>
        <v>4</v>
      </c>
      <c r="AT14">
        <f>IF(INDEX(Responses!$A$9:$ZZ$9,1,MATCH(AT$6,Responses!$1:$1,0))&amp;""="","",IF(LEFT(INDEX(Responses!$A$9:$ZZ$9,1,MATCH(AT$6,Responses!$1:$1,0)),1)="N","NA",VALUE(LEFT(INDEX(Responses!$A$9:$ZZ$9,1,MATCH(AT$6,Responses!$1:$1,0)),1))))</f>
        <v>4</v>
      </c>
      <c r="AU14">
        <f>IF(INDEX(Responses!$A$9:$ZZ$9,1,MATCH(AU$6,Responses!$1:$1,0))&amp;""="","",IF(LEFT(INDEX(Responses!$A$9:$ZZ$9,1,MATCH(AU$6,Responses!$1:$1,0)),1)="N","NA",VALUE(LEFT(INDEX(Responses!$A$9:$ZZ$9,1,MATCH(AU$6,Responses!$1:$1,0)),1))))</f>
        <v>4</v>
      </c>
      <c r="AV14">
        <f>IF(INDEX(Responses!$A$9:$ZZ$9,1,MATCH(AV$6,Responses!$1:$1,0))&amp;""="","",IF(LEFT(INDEX(Responses!$A$9:$ZZ$9,1,MATCH(AV$6,Responses!$1:$1,0)),1)="N","NA",VALUE(LEFT(INDEX(Responses!$A$9:$ZZ$9,1,MATCH(AV$6,Responses!$1:$1,0)),1))))</f>
        <v>4</v>
      </c>
      <c r="AW14">
        <f>IF(INDEX(Responses!$A$9:$ZZ$9,1,MATCH(AW$6,Responses!$1:$1,0))&amp;""="","",IF(LEFT(INDEX(Responses!$A$9:$ZZ$9,1,MATCH(AW$6,Responses!$1:$1,0)),1)="N","NA",VALUE(LEFT(INDEX(Responses!$A$9:$ZZ$9,1,MATCH(AW$6,Responses!$1:$1,0)),1))))</f>
        <v>4</v>
      </c>
      <c r="AX14">
        <f>IF(INDEX(Responses!$A$9:$ZZ$9,1,MATCH(AX$6,Responses!$1:$1,0))&amp;""="","",IF(LEFT(INDEX(Responses!$A$9:$ZZ$9,1,MATCH(AX$6,Responses!$1:$1,0)),1)="N","NA",VALUE(LEFT(INDEX(Responses!$A$9:$ZZ$9,1,MATCH(AX$6,Responses!$1:$1,0)),1))))</f>
        <v>4</v>
      </c>
      <c r="AY14">
        <f>IF(INDEX(Responses!$A$9:$ZZ$9,1,MATCH(AY$6,Responses!$1:$1,0))&amp;""="","",IF(LEFT(INDEX(Responses!$A$9:$ZZ$9,1,MATCH(AY$6,Responses!$1:$1,0)),1)="N","NA",VALUE(LEFT(INDEX(Responses!$A$9:$ZZ$9,1,MATCH(AY$6,Responses!$1:$1,0)),1))))</f>
        <v>4</v>
      </c>
      <c r="AZ14">
        <f>IF(INDEX(Responses!$A$9:$ZZ$9,1,MATCH(AZ$6,Responses!$1:$1,0))&amp;""="","",IF(LEFT(INDEX(Responses!$A$9:$ZZ$9,1,MATCH(AZ$6,Responses!$1:$1,0)),1)="N","NA",VALUE(LEFT(INDEX(Responses!$A$9:$ZZ$9,1,MATCH(AZ$6,Responses!$1:$1,0)),1))))</f>
        <v>4</v>
      </c>
      <c r="BA14">
        <f>IF(INDEX(Responses!$A$9:$ZZ$9,1,MATCH(BA$6,Responses!$1:$1,0))&amp;""="","",IF(LEFT(INDEX(Responses!$A$9:$ZZ$9,1,MATCH(BA$6,Responses!$1:$1,0)),1)="N","NA",VALUE(LEFT(INDEX(Responses!$A$9:$ZZ$9,1,MATCH(BA$6,Responses!$1:$1,0)),1))))</f>
        <v>4</v>
      </c>
      <c r="BB14">
        <f>IF(INDEX(Responses!$A$9:$ZZ$9,1,MATCH(BB$6,Responses!$1:$1,0))&amp;""="","",IF(LEFT(INDEX(Responses!$A$9:$ZZ$9,1,MATCH(BB$6,Responses!$1:$1,0)),1)="N","NA",VALUE(LEFT(INDEX(Responses!$A$9:$ZZ$9,1,MATCH(BB$6,Responses!$1:$1,0)),1))))</f>
        <v>4</v>
      </c>
      <c r="BC14">
        <f>IF(INDEX(Responses!$A$9:$ZZ$9,1,MATCH(BC$6,Responses!$1:$1,0))&amp;""="","",IF(LEFT(INDEX(Responses!$A$9:$ZZ$9,1,MATCH(BC$6,Responses!$1:$1,0)),1)="N","NA",VALUE(LEFT(INDEX(Responses!$A$9:$ZZ$9,1,MATCH(BC$6,Responses!$1:$1,0)),1))))</f>
        <v>4</v>
      </c>
      <c r="BD14">
        <f>IF(INDEX(Responses!$A$9:$ZZ$9,1,MATCH(BD$6,Responses!$1:$1,0))&amp;""="","",IF(LEFT(INDEX(Responses!$A$9:$ZZ$9,1,MATCH(BD$6,Responses!$1:$1,0)),1)="N","NA",VALUE(LEFT(INDEX(Responses!$A$9:$ZZ$9,1,MATCH(BD$6,Responses!$1:$1,0)),1))))</f>
        <v>4</v>
      </c>
      <c r="BE14">
        <f>IF(INDEX(Responses!$A$9:$ZZ$9,1,MATCH(BE$6,Responses!$1:$1,0))&amp;""="","",IF(LEFT(INDEX(Responses!$A$9:$ZZ$9,1,MATCH(BE$6,Responses!$1:$1,0)),1)="N","NA",VALUE(LEFT(INDEX(Responses!$A$9:$ZZ$9,1,MATCH(BE$6,Responses!$1:$1,0)),1))))</f>
        <v>4</v>
      </c>
      <c r="BF14">
        <f>IF(INDEX(Responses!$A$9:$ZZ$9,1,MATCH(BF$6,Responses!$1:$1,0))&amp;""="","",IF(LEFT(INDEX(Responses!$A$9:$ZZ$9,1,MATCH(BF$6,Responses!$1:$1,0)),1)="N","NA",VALUE(LEFT(INDEX(Responses!$A$9:$ZZ$9,1,MATCH(BF$6,Responses!$1:$1,0)),1))))</f>
        <v>4</v>
      </c>
      <c r="BG14">
        <f>IF(INDEX(Responses!$A$9:$ZZ$9,1,MATCH(BG$6,Responses!$1:$1,0))&amp;""="","",IF(LEFT(INDEX(Responses!$A$9:$ZZ$9,1,MATCH(BG$6,Responses!$1:$1,0)),1)="N","NA",VALUE(LEFT(INDEX(Responses!$A$9:$ZZ$9,1,MATCH(BG$6,Responses!$1:$1,0)),1))))</f>
        <v>4</v>
      </c>
      <c r="BH14">
        <f>IF(INDEX(Responses!$A$9:$ZZ$9,1,MATCH(BH$6,Responses!$1:$1,0))&amp;""="","",IF(LEFT(INDEX(Responses!$A$9:$ZZ$9,1,MATCH(BH$6,Responses!$1:$1,0)),1)="N","NA",VALUE(LEFT(INDEX(Responses!$A$9:$ZZ$9,1,MATCH(BH$6,Responses!$1:$1,0)),1))))</f>
        <v>4</v>
      </c>
      <c r="BI14">
        <f>IF(INDEX(Responses!$A$9:$ZZ$9,1,MATCH(BI$6,Responses!$1:$1,0))&amp;""="","",IF(LEFT(INDEX(Responses!$A$9:$ZZ$9,1,MATCH(BI$6,Responses!$1:$1,0)),1)="N","NA",VALUE(LEFT(INDEX(Responses!$A$9:$ZZ$9,1,MATCH(BI$6,Responses!$1:$1,0)),1))))</f>
        <v>4</v>
      </c>
      <c r="BJ14">
        <f>IF(INDEX(Responses!$A$9:$ZZ$9,1,MATCH(BJ$6,Responses!$1:$1,0))&amp;""="","",IF(LEFT(INDEX(Responses!$A$9:$ZZ$9,1,MATCH(BJ$6,Responses!$1:$1,0)),1)="N","NA",VALUE(LEFT(INDEX(Responses!$A$9:$ZZ$9,1,MATCH(BJ$6,Responses!$1:$1,0)),1))))</f>
        <v>4</v>
      </c>
      <c r="BK14">
        <f>IF(INDEX(Responses!$A$9:$ZZ$9,1,MATCH(BK$6,Responses!$1:$1,0))&amp;""="","",IF(LEFT(INDEX(Responses!$A$9:$ZZ$9,1,MATCH(BK$6,Responses!$1:$1,0)),1)="N","NA",VALUE(LEFT(INDEX(Responses!$A$9:$ZZ$9,1,MATCH(BK$6,Responses!$1:$1,0)),1))))</f>
        <v>4</v>
      </c>
      <c r="BL14">
        <f>IF(INDEX(Responses!$A$9:$ZZ$9,1,MATCH(BL$6,Responses!$1:$1,0))&amp;""="","",IF(LEFT(INDEX(Responses!$A$9:$ZZ$9,1,MATCH(BL$6,Responses!$1:$1,0)),1)="N","NA",VALUE(LEFT(INDEX(Responses!$A$9:$ZZ$9,1,MATCH(BL$6,Responses!$1:$1,0)),1))))</f>
        <v>4</v>
      </c>
      <c r="BM14">
        <f>IF(INDEX(Responses!$A$9:$ZZ$9,1,MATCH(BM$6,Responses!$1:$1,0))&amp;""="","",IF(LEFT(INDEX(Responses!$A$9:$ZZ$9,1,MATCH(BM$6,Responses!$1:$1,0)),1)="N","NA",VALUE(LEFT(INDEX(Responses!$A$9:$ZZ$9,1,MATCH(BM$6,Responses!$1:$1,0)),1))))</f>
        <v>4</v>
      </c>
      <c r="BN14">
        <f>IF(INDEX(Responses!$A$9:$ZZ$9,1,MATCH(BN$6,Responses!$1:$1,0))&amp;""="","",IF(LEFT(INDEX(Responses!$A$9:$ZZ$9,1,MATCH(BN$6,Responses!$1:$1,0)),1)="N","NA",VALUE(LEFT(INDEX(Responses!$A$9:$ZZ$9,1,MATCH(BN$6,Responses!$1:$1,0)),1))))</f>
        <v>4</v>
      </c>
      <c r="BO14">
        <f>IF(INDEX(Responses!$A$9:$ZZ$9,1,MATCH(BO$6,Responses!$1:$1,0))&amp;""="","",IF(LEFT(INDEX(Responses!$A$9:$ZZ$9,1,MATCH(BO$6,Responses!$1:$1,0)),1)="N","NA",VALUE(LEFT(INDEX(Responses!$A$9:$ZZ$9,1,MATCH(BO$6,Responses!$1:$1,0)),1))))</f>
        <v>4</v>
      </c>
      <c r="BP14">
        <f>IF(INDEX(Responses!$A$9:$ZZ$9,1,MATCH(BP$6,Responses!$1:$1,0))&amp;""="","",IF(LEFT(INDEX(Responses!$A$9:$ZZ$9,1,MATCH(BP$6,Responses!$1:$1,0)),1)="N","NA",VALUE(LEFT(INDEX(Responses!$A$9:$ZZ$9,1,MATCH(BP$6,Responses!$1:$1,0)),1))))</f>
        <v>4</v>
      </c>
      <c r="BQ14">
        <f>IF(INDEX(Responses!$A$9:$ZZ$9,1,MATCH(BQ$6,Responses!$1:$1,0))&amp;""="","",IF(LEFT(INDEX(Responses!$A$9:$ZZ$9,1,MATCH(BQ$6,Responses!$1:$1,0)),1)="N","NA",VALUE(LEFT(INDEX(Responses!$A$9:$ZZ$9,1,MATCH(BQ$6,Responses!$1:$1,0)),1))))</f>
        <v>4</v>
      </c>
      <c r="BR14">
        <f>IF(INDEX(Responses!$A$9:$ZZ$9,1,MATCH(BR$6,Responses!$1:$1,0))&amp;""="","",IF(LEFT(INDEX(Responses!$A$9:$ZZ$9,1,MATCH(BR$6,Responses!$1:$1,0)),1)="N","NA",VALUE(LEFT(INDEX(Responses!$A$9:$ZZ$9,1,MATCH(BR$6,Responses!$1:$1,0)),1))))</f>
        <v>4</v>
      </c>
      <c r="BS14">
        <f>IF(INDEX(Responses!$A$9:$ZZ$9,1,MATCH(BS$6,Responses!$1:$1,0))&amp;""="","",IF(LEFT(INDEX(Responses!$A$9:$ZZ$9,1,MATCH(BS$6,Responses!$1:$1,0)),1)="N","NA",VALUE(LEFT(INDEX(Responses!$A$9:$ZZ$9,1,MATCH(BS$6,Responses!$1:$1,0)),1))))</f>
        <v>4</v>
      </c>
      <c r="BT14">
        <f>IF(INDEX(Responses!$A$9:$ZZ$9,1,MATCH(BT$6,Responses!$1:$1,0))&amp;""="","",IF(LEFT(INDEX(Responses!$A$9:$ZZ$9,1,MATCH(BT$6,Responses!$1:$1,0)),1)="N","NA",VALUE(LEFT(INDEX(Responses!$A$9:$ZZ$9,1,MATCH(BT$6,Responses!$1:$1,0)),1))))</f>
        <v>4</v>
      </c>
      <c r="BU14">
        <f>IF(INDEX(Responses!$A$9:$ZZ$9,1,MATCH(BU$6,Responses!$1:$1,0))&amp;""="","",IF(LEFT(INDEX(Responses!$A$9:$ZZ$9,1,MATCH(BU$6,Responses!$1:$1,0)),1)="N","NA",VALUE(LEFT(INDEX(Responses!$A$9:$ZZ$9,1,MATCH(BU$6,Responses!$1:$1,0)),1))))</f>
        <v>4</v>
      </c>
      <c r="BV14">
        <f>IF(INDEX(Responses!$A$9:$ZZ$9,1,MATCH(BV$6,Responses!$1:$1,0))&amp;""="","",IF(LEFT(INDEX(Responses!$A$9:$ZZ$9,1,MATCH(BV$6,Responses!$1:$1,0)),1)="N","NA",VALUE(LEFT(INDEX(Responses!$A$9:$ZZ$9,1,MATCH(BV$6,Responses!$1:$1,0)),1))))</f>
        <v>4</v>
      </c>
      <c r="BW14">
        <f>IF(INDEX(Responses!$A$9:$ZZ$9,1,MATCH(BW$6,Responses!$1:$1,0))&amp;""="","",IF(LEFT(INDEX(Responses!$A$9:$ZZ$9,1,MATCH(BW$6,Responses!$1:$1,0)),1)="N","NA",VALUE(LEFT(INDEX(Responses!$A$9:$ZZ$9,1,MATCH(BW$6,Responses!$1:$1,0)),1))))</f>
        <v>4</v>
      </c>
      <c r="BX14">
        <f>IF(INDEX(Responses!$A$9:$ZZ$9,1,MATCH(BX$6,Responses!$1:$1,0))&amp;""="","",IF(LEFT(INDEX(Responses!$A$9:$ZZ$9,1,MATCH(BX$6,Responses!$1:$1,0)),1)="N","NA",VALUE(LEFT(INDEX(Responses!$A$9:$ZZ$9,1,MATCH(BX$6,Responses!$1:$1,0)),1))))</f>
        <v>4</v>
      </c>
      <c r="BY14">
        <f>IF(INDEX(Responses!$A$9:$ZZ$9,1,MATCH(BY$6,Responses!$1:$1,0))&amp;""="","",IF(LEFT(INDEX(Responses!$A$9:$ZZ$9,1,MATCH(BY$6,Responses!$1:$1,0)),1)="N","NA",VALUE(LEFT(INDEX(Responses!$A$9:$ZZ$9,1,MATCH(BY$6,Responses!$1:$1,0)),1))))</f>
        <v>4</v>
      </c>
      <c r="BZ14">
        <f>IF(INDEX(Responses!$A$9:$ZZ$9,1,MATCH(BZ$6,Responses!$1:$1,0))&amp;""="","",IF(LEFT(INDEX(Responses!$A$9:$ZZ$9,1,MATCH(BZ$6,Responses!$1:$1,0)),1)="N","NA",VALUE(LEFT(INDEX(Responses!$A$9:$ZZ$9,1,MATCH(BZ$6,Responses!$1:$1,0)),1))))</f>
        <v>4</v>
      </c>
      <c r="CA14">
        <f>IF(INDEX(Responses!$A$9:$ZZ$9,1,MATCH(CA$6,Responses!$1:$1,0))&amp;""="","",IF(LEFT(INDEX(Responses!$A$9:$ZZ$9,1,MATCH(CA$6,Responses!$1:$1,0)),1)="N","NA",VALUE(LEFT(INDEX(Responses!$A$9:$ZZ$9,1,MATCH(CA$6,Responses!$1:$1,0)),1))))</f>
        <v>4</v>
      </c>
      <c r="CB14">
        <f>IF(INDEX(Responses!$A$9:$ZZ$9,1,MATCH(CB$6,Responses!$1:$1,0))&amp;""="","",IF(LEFT(INDEX(Responses!$A$9:$ZZ$9,1,MATCH(CB$6,Responses!$1:$1,0)),1)="N","NA",VALUE(LEFT(INDEX(Responses!$A$9:$ZZ$9,1,MATCH(CB$6,Responses!$1:$1,0)),1))))</f>
        <v>4</v>
      </c>
      <c r="CC14">
        <f>IF(INDEX(Responses!$A$9:$ZZ$9,1,MATCH(CC$6,Responses!$1:$1,0))&amp;""="","",IF(LEFT(INDEX(Responses!$A$9:$ZZ$9,1,MATCH(CC$6,Responses!$1:$1,0)),1)="N","NA",VALUE(LEFT(INDEX(Responses!$A$9:$ZZ$9,1,MATCH(CC$6,Responses!$1:$1,0)),1))))</f>
        <v>4</v>
      </c>
      <c r="CD14">
        <f>IF(INDEX(Responses!$A$9:$ZZ$9,1,MATCH(CD$6,Responses!$1:$1,0))&amp;""="","",IF(LEFT(INDEX(Responses!$A$9:$ZZ$9,1,MATCH(CD$6,Responses!$1:$1,0)),1)="N","NA",VALUE(LEFT(INDEX(Responses!$A$9:$ZZ$9,1,MATCH(CD$6,Responses!$1:$1,0)),1))))</f>
        <v>4</v>
      </c>
      <c r="CE14">
        <f>IF(INDEX(Responses!$A$9:$ZZ$9,1,MATCH(CE$6,Responses!$1:$1,0))&amp;""="","",IF(LEFT(INDEX(Responses!$A$9:$ZZ$9,1,MATCH(CE$6,Responses!$1:$1,0)),1)="N","NA",VALUE(LEFT(INDEX(Responses!$A$9:$ZZ$9,1,MATCH(CE$6,Responses!$1:$1,0)),1))))</f>
        <v>4</v>
      </c>
      <c r="CF14">
        <f>IF(INDEX(Responses!$A$9:$ZZ$9,1,MATCH(CF$6,Responses!$1:$1,0))&amp;""="","",IF(LEFT(INDEX(Responses!$A$9:$ZZ$9,1,MATCH(CF$6,Responses!$1:$1,0)),1)="N","NA",VALUE(LEFT(INDEX(Responses!$A$9:$ZZ$9,1,MATCH(CF$6,Responses!$1:$1,0)),1))))</f>
        <v>4</v>
      </c>
      <c r="CG14">
        <f>IF(INDEX(Responses!$A$9:$ZZ$9,1,MATCH(CG$6,Responses!$1:$1,0))&amp;""="","",IF(LEFT(INDEX(Responses!$A$9:$ZZ$9,1,MATCH(CG$6,Responses!$1:$1,0)),1)="N","NA",VALUE(LEFT(INDEX(Responses!$A$9:$ZZ$9,1,MATCH(CG$6,Responses!$1:$1,0)),1))))</f>
        <v>4</v>
      </c>
      <c r="CH14">
        <f>IF(INDEX(Responses!$A$9:$ZZ$9,1,MATCH(CH$6,Responses!$1:$1,0))&amp;""="","",IF(LEFT(INDEX(Responses!$A$9:$ZZ$9,1,MATCH(CH$6,Responses!$1:$1,0)),1)="N","NA",VALUE(LEFT(INDEX(Responses!$A$9:$ZZ$9,1,MATCH(CH$6,Responses!$1:$1,0)),1))))</f>
        <v>4</v>
      </c>
      <c r="CI14">
        <f>IF(INDEX(Responses!$A$9:$ZZ$9,1,MATCH(CI$6,Responses!$1:$1,0))&amp;""="","",IF(LEFT(INDEX(Responses!$A$9:$ZZ$9,1,MATCH(CI$6,Responses!$1:$1,0)),1)="N","NA",VALUE(LEFT(INDEX(Responses!$A$9:$ZZ$9,1,MATCH(CI$6,Responses!$1:$1,0)),1))))</f>
        <v>4</v>
      </c>
      <c r="CJ14">
        <f>IF(INDEX(Responses!$A$9:$ZZ$9,1,MATCH(CJ$6,Responses!$1:$1,0))&amp;""="","",IF(LEFT(INDEX(Responses!$A$9:$ZZ$9,1,MATCH(CJ$6,Responses!$1:$1,0)),1)="N","NA",VALUE(LEFT(INDEX(Responses!$A$9:$ZZ$9,1,MATCH(CJ$6,Responses!$1:$1,0)),1))))</f>
        <v>4</v>
      </c>
      <c r="CK14">
        <f>IF(INDEX(Responses!$A$9:$ZZ$9,1,MATCH(CK$6,Responses!$1:$1,0))&amp;""="","",IF(LEFT(INDEX(Responses!$A$9:$ZZ$9,1,MATCH(CK$6,Responses!$1:$1,0)),1)="N","NA",VALUE(LEFT(INDEX(Responses!$A$9:$ZZ$9,1,MATCH(CK$6,Responses!$1:$1,0)),1))))</f>
        <v>4</v>
      </c>
      <c r="CL14">
        <f>IF(INDEX(Responses!$A$9:$ZZ$9,1,MATCH(CL$6,Responses!$1:$1,0))&amp;""="","",IF(LEFT(INDEX(Responses!$A$9:$ZZ$9,1,MATCH(CL$6,Responses!$1:$1,0)),1)="N","NA",VALUE(LEFT(INDEX(Responses!$A$9:$ZZ$9,1,MATCH(CL$6,Responses!$1:$1,0)),1))))</f>
        <v>4</v>
      </c>
      <c r="CM14">
        <f>IF(INDEX(Responses!$A$9:$ZZ$9,1,MATCH(CM$6,Responses!$1:$1,0))&amp;""="","",IF(LEFT(INDEX(Responses!$A$9:$ZZ$9,1,MATCH(CM$6,Responses!$1:$1,0)),1)="N","NA",VALUE(LEFT(INDEX(Responses!$A$9:$ZZ$9,1,MATCH(CM$6,Responses!$1:$1,0)),1))))</f>
        <v>4</v>
      </c>
      <c r="CN14">
        <f>IF(INDEX(Responses!$A$9:$ZZ$9,1,MATCH(CN$6,Responses!$1:$1,0))&amp;""="","",IF(LEFT(INDEX(Responses!$A$9:$ZZ$9,1,MATCH(CN$6,Responses!$1:$1,0)),1)="N","NA",VALUE(LEFT(INDEX(Responses!$A$9:$ZZ$9,1,MATCH(CN$6,Responses!$1:$1,0)),1))))</f>
        <v>4</v>
      </c>
      <c r="CO14">
        <f>IF(INDEX(Responses!$A$9:$ZZ$9,1,MATCH(CO$6,Responses!$1:$1,0))&amp;""="","",IF(LEFT(INDEX(Responses!$A$9:$ZZ$9,1,MATCH(CO$6,Responses!$1:$1,0)),1)="N","NA",VALUE(LEFT(INDEX(Responses!$A$9:$ZZ$9,1,MATCH(CO$6,Responses!$1:$1,0)),1))))</f>
        <v>3</v>
      </c>
      <c r="CP14">
        <f>IF(INDEX(Responses!$A$9:$ZZ$9,1,MATCH(CP$6,Responses!$1:$1,0))&amp;""="","",IF(LEFT(INDEX(Responses!$A$9:$ZZ$9,1,MATCH(CP$6,Responses!$1:$1,0)),1)="N","NA",VALUE(LEFT(INDEX(Responses!$A$9:$ZZ$9,1,MATCH(CP$6,Responses!$1:$1,0)),1))))</f>
        <v>3</v>
      </c>
      <c r="CQ14">
        <f>IF(INDEX(Responses!$A$9:$ZZ$9,1,MATCH(CQ$6,Responses!$1:$1,0))&amp;""="","",IF(LEFT(INDEX(Responses!$A$9:$ZZ$9,1,MATCH(CQ$6,Responses!$1:$1,0)),1)="N","NA",VALUE(LEFT(INDEX(Responses!$A$9:$ZZ$9,1,MATCH(CQ$6,Responses!$1:$1,0)),1))))</f>
        <v>3</v>
      </c>
      <c r="CR14">
        <f>IF(INDEX(Responses!$A$9:$ZZ$9,1,MATCH(CR$6,Responses!$1:$1,0))&amp;""="","",IF(LEFT(INDEX(Responses!$A$9:$ZZ$9,1,MATCH(CR$6,Responses!$1:$1,0)),1)="N","NA",VALUE(LEFT(INDEX(Responses!$A$9:$ZZ$9,1,MATCH(CR$6,Responses!$1:$1,0)),1))))</f>
        <v>3</v>
      </c>
      <c r="CS14">
        <f>IF(INDEX(Responses!$A$9:$ZZ$9,1,MATCH(CS$6,Responses!$1:$1,0))&amp;""="","",IF(LEFT(INDEX(Responses!$A$9:$ZZ$9,1,MATCH(CS$6,Responses!$1:$1,0)),1)="N","NA",VALUE(LEFT(INDEX(Responses!$A$9:$ZZ$9,1,MATCH(CS$6,Responses!$1:$1,0)),1))))</f>
        <v>3</v>
      </c>
      <c r="CT14">
        <f>IF(INDEX(Responses!$A$9:$ZZ$9,1,MATCH(CT$6,Responses!$1:$1,0))&amp;""="","",IF(LEFT(INDEX(Responses!$A$9:$ZZ$9,1,MATCH(CT$6,Responses!$1:$1,0)),1)="N","NA",VALUE(LEFT(INDEX(Responses!$A$9:$ZZ$9,1,MATCH(CT$6,Responses!$1:$1,0)),1))))</f>
        <v>3</v>
      </c>
      <c r="CU14">
        <f>IF(INDEX(Responses!$A$9:$ZZ$9,1,MATCH(CU$6,Responses!$1:$1,0))&amp;""="","",IF(LEFT(INDEX(Responses!$A$9:$ZZ$9,1,MATCH(CU$6,Responses!$1:$1,0)),1)="N","NA",VALUE(LEFT(INDEX(Responses!$A$9:$ZZ$9,1,MATCH(CU$6,Responses!$1:$1,0)),1))))</f>
        <v>3</v>
      </c>
      <c r="CV14">
        <f>IF(INDEX(Responses!$A$9:$ZZ$9,1,MATCH(CV$6,Responses!$1:$1,0))&amp;""="","",IF(LEFT(INDEX(Responses!$A$9:$ZZ$9,1,MATCH(CV$6,Responses!$1:$1,0)),1)="N","NA",VALUE(LEFT(INDEX(Responses!$A$9:$ZZ$9,1,MATCH(CV$6,Responses!$1:$1,0)),1))))</f>
        <v>3</v>
      </c>
      <c r="CW14">
        <f>IF(INDEX(Responses!$A$9:$ZZ$9,1,MATCH(CW$6,Responses!$1:$1,0))&amp;""="","",IF(LEFT(INDEX(Responses!$A$9:$ZZ$9,1,MATCH(CW$6,Responses!$1:$1,0)),1)="N","NA",VALUE(LEFT(INDEX(Responses!$A$9:$ZZ$9,1,MATCH(CW$6,Responses!$1:$1,0)),1))))</f>
        <v>2</v>
      </c>
      <c r="CX14">
        <f>IF(INDEX(Responses!$A$9:$ZZ$9,1,MATCH(CX$6,Responses!$1:$1,0))&amp;""="","",IF(LEFT(INDEX(Responses!$A$9:$ZZ$9,1,MATCH(CX$6,Responses!$1:$1,0)),1)="N","NA",VALUE(LEFT(INDEX(Responses!$A$9:$ZZ$9,1,MATCH(CX$6,Responses!$1:$1,0)),1))))</f>
        <v>2</v>
      </c>
      <c r="CY14" t="str">
        <f>IF(INDEX(Responses!$A$9:$ZZ$9,1,MATCH(CY$6,Responses!$1:$1,0))&amp;""="","",IF(LEFT(INDEX(Responses!$A$9:$ZZ$9,1,MATCH(CY$6,Responses!$1:$1,0)),1)="N","NA",VALUE(LEFT(INDEX(Responses!$A$9:$ZZ$9,1,MATCH(CY$6,Responses!$1:$1,0)),1))))</f>
        <v>NA</v>
      </c>
      <c r="CZ14">
        <f>IF(INDEX(Responses!$A$9:$ZZ$9,1,MATCH(CZ$6,Responses!$1:$1,0))&amp;""="","",IF(LEFT(INDEX(Responses!$A$9:$ZZ$9,1,MATCH(CZ$6,Responses!$1:$1,0)),1)="N","NA",VALUE(LEFT(INDEX(Responses!$A$9:$ZZ$9,1,MATCH(CZ$6,Responses!$1:$1,0)),1))))</f>
        <v>1</v>
      </c>
      <c r="DA14">
        <f>IF(INDEX(Responses!$A$9:$ZZ$9,1,MATCH(DA$6,Responses!$1:$1,0))&amp;""="","",IF(LEFT(INDEX(Responses!$A$9:$ZZ$9,1,MATCH(DA$6,Responses!$1:$1,0)),1)="N","NA",VALUE(LEFT(INDEX(Responses!$A$9:$ZZ$9,1,MATCH(DA$6,Responses!$1:$1,0)),1))))</f>
        <v>2</v>
      </c>
      <c r="DB14">
        <f>IF(INDEX(Responses!$A$9:$ZZ$9,1,MATCH(DB$6,Responses!$1:$1,0))&amp;""="","",IF(LEFT(INDEX(Responses!$A$9:$ZZ$9,1,MATCH(DB$6,Responses!$1:$1,0)),1)="N","NA",VALUE(LEFT(INDEX(Responses!$A$9:$ZZ$9,1,MATCH(DB$6,Responses!$1:$1,0)),1))))</f>
        <v>3</v>
      </c>
      <c r="DC14">
        <f>IF(INDEX(Responses!$A$9:$ZZ$9,1,MATCH(DC$6,Responses!$1:$1,0))&amp;""="","",IF(LEFT(INDEX(Responses!$A$9:$ZZ$9,1,MATCH(DC$6,Responses!$1:$1,0)),1)="N","NA",VALUE(LEFT(INDEX(Responses!$A$9:$ZZ$9,1,MATCH(DC$6,Responses!$1:$1,0)),1))))</f>
        <v>2</v>
      </c>
      <c r="DD14">
        <f>IF(INDEX(Responses!$A$9:$ZZ$9,1,MATCH(DD$6,Responses!$1:$1,0))&amp;""="","",IF(LEFT(INDEX(Responses!$A$9:$ZZ$9,1,MATCH(DD$6,Responses!$1:$1,0)),1)="N","NA",VALUE(LEFT(INDEX(Responses!$A$9:$ZZ$9,1,MATCH(DD$6,Responses!$1:$1,0)),1))))</f>
        <v>3</v>
      </c>
      <c r="DE14">
        <f>IF(INDEX(Responses!$A$9:$ZZ$9,1,MATCH(DE$6,Responses!$1:$1,0))&amp;""="","",IF(LEFT(INDEX(Responses!$A$9:$ZZ$9,1,MATCH(DE$6,Responses!$1:$1,0)),1)="N","NA",VALUE(LEFT(INDEX(Responses!$A$9:$ZZ$9,1,MATCH(DE$6,Responses!$1:$1,0)),1))))</f>
        <v>3</v>
      </c>
      <c r="DF14">
        <f>IF(INDEX(Responses!$A$9:$ZZ$9,1,MATCH(DF$6,Responses!$1:$1,0))&amp;""="","",IF(LEFT(INDEX(Responses!$A$9:$ZZ$9,1,MATCH(DF$6,Responses!$1:$1,0)),1)="N","NA",VALUE(LEFT(INDEX(Responses!$A$9:$ZZ$9,1,MATCH(DF$6,Responses!$1:$1,0)),1))))</f>
        <v>3</v>
      </c>
      <c r="DG14">
        <f>IF(INDEX(Responses!$A$9:$ZZ$9,1,MATCH(DG$6,Responses!$1:$1,0))&amp;""="","",IF(LEFT(INDEX(Responses!$A$9:$ZZ$9,1,MATCH(DG$6,Responses!$1:$1,0)),1)="N","NA",VALUE(LEFT(INDEX(Responses!$A$9:$ZZ$9,1,MATCH(DG$6,Responses!$1:$1,0)),1))))</f>
        <v>3</v>
      </c>
      <c r="DH14">
        <f>IF(INDEX(Responses!$A$9:$ZZ$9,1,MATCH(DH$6,Responses!$1:$1,0))&amp;""="","",IF(LEFT(INDEX(Responses!$A$9:$ZZ$9,1,MATCH(DH$6,Responses!$1:$1,0)),1)="N","NA",VALUE(LEFT(INDEX(Responses!$A$9:$ZZ$9,1,MATCH(DH$6,Responses!$1:$1,0)),1))))</f>
        <v>5</v>
      </c>
      <c r="DI14">
        <f>IF(INDEX(Responses!$A$9:$ZZ$9,1,MATCH(DI$6,Responses!$1:$1,0))&amp;""="","",IF(LEFT(INDEX(Responses!$A$9:$ZZ$9,1,MATCH(DI$6,Responses!$1:$1,0)),1)="N","NA",VALUE(LEFT(INDEX(Responses!$A$9:$ZZ$9,1,MATCH(DI$6,Responses!$1:$1,0)),1))))</f>
        <v>5</v>
      </c>
      <c r="DJ14">
        <f>IF(INDEX(Responses!$A$9:$ZZ$9,1,MATCH(DJ$6,Responses!$1:$1,0))&amp;""="","",IF(LEFT(INDEX(Responses!$A$9:$ZZ$9,1,MATCH(DJ$6,Responses!$1:$1,0)),1)="N","NA",VALUE(LEFT(INDEX(Responses!$A$9:$ZZ$9,1,MATCH(DJ$6,Responses!$1:$1,0)),1))))</f>
        <v>5</v>
      </c>
      <c r="DK14">
        <f>IF(INDEX(Responses!$A$9:$ZZ$9,1,MATCH(DK$6,Responses!$1:$1,0))&amp;""="","",IF(LEFT(INDEX(Responses!$A$9:$ZZ$9,1,MATCH(DK$6,Responses!$1:$1,0)),1)="N","NA",VALUE(LEFT(INDEX(Responses!$A$9:$ZZ$9,1,MATCH(DK$6,Responses!$1:$1,0)),1))))</f>
        <v>4</v>
      </c>
      <c r="DL14">
        <f>IF(INDEX(Responses!$A$9:$ZZ$9,1,MATCH(DL$6,Responses!$1:$1,0))&amp;""="","",IF(LEFT(INDEX(Responses!$A$9:$ZZ$9,1,MATCH(DL$6,Responses!$1:$1,0)),1)="N","NA",VALUE(LEFT(INDEX(Responses!$A$9:$ZZ$9,1,MATCH(DL$6,Responses!$1:$1,0)),1))))</f>
        <v>4</v>
      </c>
      <c r="DM14">
        <f>IF(INDEX(Responses!$A$9:$ZZ$9,1,MATCH(DM$6,Responses!$1:$1,0))&amp;""="","",IF(LEFT(INDEX(Responses!$A$9:$ZZ$9,1,MATCH(DM$6,Responses!$1:$1,0)),1)="N","NA",VALUE(LEFT(INDEX(Responses!$A$9:$ZZ$9,1,MATCH(DM$6,Responses!$1:$1,0)),1))))</f>
        <v>4</v>
      </c>
      <c r="DN14">
        <f>IF(INDEX(Responses!$A$9:$ZZ$9,1,MATCH(DN$6,Responses!$1:$1,0))&amp;""="","",IF(LEFT(INDEX(Responses!$A$9:$ZZ$9,1,MATCH(DN$6,Responses!$1:$1,0)),1)="N","NA",VALUE(LEFT(INDEX(Responses!$A$9:$ZZ$9,1,MATCH(DN$6,Responses!$1:$1,0)),1))))</f>
        <v>4</v>
      </c>
      <c r="DO14">
        <f>IF(INDEX(Responses!$A$9:$ZZ$9,1,MATCH(DO$6,Responses!$1:$1,0))&amp;""="","",IF(LEFT(INDEX(Responses!$A$9:$ZZ$9,1,MATCH(DO$6,Responses!$1:$1,0)),1)="N","NA",VALUE(LEFT(INDEX(Responses!$A$9:$ZZ$9,1,MATCH(DO$6,Responses!$1:$1,0)),1))))</f>
        <v>4</v>
      </c>
      <c r="DP14">
        <f>IF(INDEX(Responses!$A$9:$ZZ$9,1,MATCH(DP$6,Responses!$1:$1,0))&amp;""="","",IF(LEFT(INDEX(Responses!$A$9:$ZZ$9,1,MATCH(DP$6,Responses!$1:$1,0)),1)="N","NA",VALUE(LEFT(INDEX(Responses!$A$9:$ZZ$9,1,MATCH(DP$6,Responses!$1:$1,0)),1))))</f>
        <v>3</v>
      </c>
      <c r="DQ14">
        <f>IF(INDEX(Responses!$A$9:$ZZ$9,1,MATCH(DQ$6,Responses!$1:$1,0))&amp;""="","",IF(LEFT(INDEX(Responses!$A$9:$ZZ$9,1,MATCH(DQ$6,Responses!$1:$1,0)),1)="N","NA",VALUE(LEFT(INDEX(Responses!$A$9:$ZZ$9,1,MATCH(DQ$6,Responses!$1:$1,0)),1))))</f>
        <v>3</v>
      </c>
      <c r="DR14" t="str">
        <f>IF(INDEX(Responses!$A$9:$ZZ$9,1,MATCH(DR$6,Responses!$1:$1,0))&amp;""="","",IF(LEFT(INDEX(Responses!$A$9:$ZZ$9,1,MATCH(DR$6,Responses!$1:$1,0)),1)="N","NA",VALUE(LEFT(INDEX(Responses!$A$9:$ZZ$9,1,MATCH(DR$6,Responses!$1:$1,0)),1))))</f>
        <v>NA</v>
      </c>
      <c r="DS14">
        <f>IF(INDEX(Responses!$A$9:$ZZ$9,1,MATCH(DS$6,Responses!$1:$1,0))&amp;""="","",IF(LEFT(INDEX(Responses!$A$9:$ZZ$9,1,MATCH(DS$6,Responses!$1:$1,0)),1)="N","NA",VALUE(LEFT(INDEX(Responses!$A$9:$ZZ$9,1,MATCH(DS$6,Responses!$1:$1,0)),1))))</f>
        <v>3</v>
      </c>
      <c r="DT14">
        <f>IF(INDEX(Responses!$A$9:$ZZ$9,1,MATCH(DT$6,Responses!$1:$1,0))&amp;""="","",IF(LEFT(INDEX(Responses!$A$9:$ZZ$9,1,MATCH(DT$6,Responses!$1:$1,0)),1)="N","NA",VALUE(LEFT(INDEX(Responses!$A$9:$ZZ$9,1,MATCH(DT$6,Responses!$1:$1,0)),1))))</f>
        <v>3</v>
      </c>
      <c r="DU14">
        <f>IF(INDEX(Responses!$A$9:$ZZ$9,1,MATCH(DU$6,Responses!$1:$1,0))&amp;""="","",IF(LEFT(INDEX(Responses!$A$9:$ZZ$9,1,MATCH(DU$6,Responses!$1:$1,0)),1)="N","NA",VALUE(LEFT(INDEX(Responses!$A$9:$ZZ$9,1,MATCH(DU$6,Responses!$1:$1,0)),1))))</f>
        <v>5</v>
      </c>
      <c r="DV14">
        <f>IF(INDEX(Responses!$A$9:$ZZ$9,1,MATCH(DV$6,Responses!$1:$1,0))&amp;""="","",IF(LEFT(INDEX(Responses!$A$9:$ZZ$9,1,MATCH(DV$6,Responses!$1:$1,0)),1)="N","NA",VALUE(LEFT(INDEX(Responses!$A$9:$ZZ$9,1,MATCH(DV$6,Responses!$1:$1,0)),1))))</f>
        <v>4</v>
      </c>
      <c r="DW14">
        <f>IF(INDEX(Responses!$A$9:$ZZ$9,1,MATCH(DW$6,Responses!$1:$1,0))&amp;""="","",IF(LEFT(INDEX(Responses!$A$9:$ZZ$9,1,MATCH(DW$6,Responses!$1:$1,0)),1)="N","NA",VALUE(LEFT(INDEX(Responses!$A$9:$ZZ$9,1,MATCH(DW$6,Responses!$1:$1,0)),1))))</f>
        <v>4</v>
      </c>
      <c r="DX14">
        <f>IF(INDEX(Responses!$A$9:$ZZ$9,1,MATCH(DX$6,Responses!$1:$1,0))&amp;""="","",IF(LEFT(INDEX(Responses!$A$9:$ZZ$9,1,MATCH(DX$6,Responses!$1:$1,0)),1)="N","NA",VALUE(LEFT(INDEX(Responses!$A$9:$ZZ$9,1,MATCH(DX$6,Responses!$1:$1,0)),1))))</f>
        <v>4</v>
      </c>
      <c r="DY14">
        <f>IF(INDEX(Responses!$A$9:$ZZ$9,1,MATCH(DY$6,Responses!$1:$1,0))&amp;""="","",IF(LEFT(INDEX(Responses!$A$9:$ZZ$9,1,MATCH(DY$6,Responses!$1:$1,0)),1)="N","NA",VALUE(LEFT(INDEX(Responses!$A$9:$ZZ$9,1,MATCH(DY$6,Responses!$1:$1,0)),1))))</f>
        <v>4</v>
      </c>
      <c r="DZ14">
        <f>IF(INDEX(Responses!$A$9:$ZZ$9,1,MATCH(DZ$6,Responses!$1:$1,0))&amp;""="","",IF(LEFT(INDEX(Responses!$A$9:$ZZ$9,1,MATCH(DZ$6,Responses!$1:$1,0)),1)="N","NA",VALUE(LEFT(INDEX(Responses!$A$9:$ZZ$9,1,MATCH(DZ$6,Responses!$1:$1,0)),1))))</f>
        <v>4</v>
      </c>
      <c r="EA14">
        <f>IF(INDEX(Responses!$A$9:$ZZ$9,1,MATCH(EA$6,Responses!$1:$1,0))&amp;""="","",IF(LEFT(INDEX(Responses!$A$9:$ZZ$9,1,MATCH(EA$6,Responses!$1:$1,0)),1)="N","NA",VALUE(LEFT(INDEX(Responses!$A$9:$ZZ$9,1,MATCH(EA$6,Responses!$1:$1,0)),1))))</f>
        <v>4</v>
      </c>
      <c r="EB14">
        <f>IF(INDEX(Responses!$A$9:$ZZ$9,1,MATCH(EB$6,Responses!$1:$1,0))&amp;""="","",IF(LEFT(INDEX(Responses!$A$9:$ZZ$9,1,MATCH(EB$6,Responses!$1:$1,0)),1)="N","NA",VALUE(LEFT(INDEX(Responses!$A$9:$ZZ$9,1,MATCH(EB$6,Responses!$1:$1,0)),1))))</f>
        <v>4</v>
      </c>
      <c r="EC14">
        <f>IF(INDEX(Responses!$A$9:$ZZ$9,1,MATCH(EC$6,Responses!$1:$1,0))&amp;""="","",IF(LEFT(INDEX(Responses!$A$9:$ZZ$9,1,MATCH(EC$6,Responses!$1:$1,0)),1)="N","NA",VALUE(LEFT(INDEX(Responses!$A$9:$ZZ$9,1,MATCH(EC$6,Responses!$1:$1,0)),1))))</f>
        <v>4</v>
      </c>
      <c r="ED14">
        <f>IF(INDEX(Responses!$A$9:$ZZ$9,1,MATCH(ED$6,Responses!$1:$1,0))&amp;""="","",IF(LEFT(INDEX(Responses!$A$9:$ZZ$9,1,MATCH(ED$6,Responses!$1:$1,0)),1)="N","NA",VALUE(LEFT(INDEX(Responses!$A$9:$ZZ$9,1,MATCH(ED$6,Responses!$1:$1,0)),1))))</f>
        <v>5</v>
      </c>
      <c r="EE14">
        <f>IF(INDEX(Responses!$A$9:$ZZ$9,1,MATCH(EE$6,Responses!$1:$1,0))&amp;""="","",IF(LEFT(INDEX(Responses!$A$9:$ZZ$9,1,MATCH(EE$6,Responses!$1:$1,0)),1)="N","NA",VALUE(LEFT(INDEX(Responses!$A$9:$ZZ$9,1,MATCH(EE$6,Responses!$1:$1,0)),1))))</f>
        <v>4</v>
      </c>
      <c r="EF14">
        <f>IF(INDEX(Responses!$A$9:$ZZ$9,1,MATCH(EF$6,Responses!$1:$1,0))&amp;""="","",IF(LEFT(INDEX(Responses!$A$9:$ZZ$9,1,MATCH(EF$6,Responses!$1:$1,0)),1)="N","NA",VALUE(LEFT(INDEX(Responses!$A$9:$ZZ$9,1,MATCH(EF$6,Responses!$1:$1,0)),1))))</f>
        <v>5</v>
      </c>
      <c r="EG14">
        <f>IF(INDEX(Responses!$A$9:$ZZ$9,1,MATCH(EG$6,Responses!$1:$1,0))&amp;""="","",IF(LEFT(INDEX(Responses!$A$9:$ZZ$9,1,MATCH(EG$6,Responses!$1:$1,0)),1)="N","NA",VALUE(LEFT(INDEX(Responses!$A$9:$ZZ$9,1,MATCH(EG$6,Responses!$1:$1,0)),1))))</f>
        <v>4</v>
      </c>
      <c r="EH14">
        <f>IF(INDEX(Responses!$A$9:$ZZ$9,1,MATCH(EH$6,Responses!$1:$1,0))&amp;""="","",IF(LEFT(INDEX(Responses!$A$9:$ZZ$9,1,MATCH(EH$6,Responses!$1:$1,0)),1)="N","NA",VALUE(LEFT(INDEX(Responses!$A$9:$ZZ$9,1,MATCH(EH$6,Responses!$1:$1,0)),1))))</f>
        <v>5</v>
      </c>
      <c r="EI14">
        <f>IF(INDEX(Responses!$A$9:$ZZ$9,1,MATCH(EI$6,Responses!$1:$1,0))&amp;""="","",IF(LEFT(INDEX(Responses!$A$9:$ZZ$9,1,MATCH(EI$6,Responses!$1:$1,0)),1)="N","NA",VALUE(LEFT(INDEX(Responses!$A$9:$ZZ$9,1,MATCH(EI$6,Responses!$1:$1,0)),1))))</f>
        <v>3</v>
      </c>
      <c r="EJ14">
        <f>IF(INDEX(Responses!$A$9:$ZZ$9,1,MATCH(EJ$6,Responses!$1:$1,0))&amp;""="","",IF(LEFT(INDEX(Responses!$A$9:$ZZ$9,1,MATCH(EJ$6,Responses!$1:$1,0)),1)="N","NA",VALUE(LEFT(INDEX(Responses!$A$9:$ZZ$9,1,MATCH(EJ$6,Responses!$1:$1,0)),1))))</f>
        <v>3</v>
      </c>
      <c r="EK14" t="str">
        <f>IF(INDEX(Responses!$A$9:$ZZ$9,1,MATCH(EK$6,Responses!$1:$1,0))&amp;""="","",IF(LEFT(INDEX(Responses!$A$9:$ZZ$9,1,MATCH(EK$6,Responses!$1:$1,0)),1)="N","NA",VALUE(LEFT(INDEX(Responses!$A$9:$ZZ$9,1,MATCH(EK$6,Responses!$1:$1,0)),1))))</f>
        <v>NA</v>
      </c>
      <c r="EL14">
        <f>IF(INDEX(Responses!$A$9:$ZZ$9,1,MATCH(EL$6,Responses!$1:$1,0))&amp;""="","",IF(LEFT(INDEX(Responses!$A$9:$ZZ$9,1,MATCH(EL$6,Responses!$1:$1,0)),1)="N","NA",VALUE(LEFT(INDEX(Responses!$A$9:$ZZ$9,1,MATCH(EL$6,Responses!$1:$1,0)),1))))</f>
        <v>2</v>
      </c>
      <c r="EM14">
        <f>IF(INDEX(Responses!$A$9:$ZZ$9,1,MATCH(EM$6,Responses!$1:$1,0))&amp;""="","",IF(LEFT(INDEX(Responses!$A$9:$ZZ$9,1,MATCH(EM$6,Responses!$1:$1,0)),1)="N","NA",VALUE(LEFT(INDEX(Responses!$A$9:$ZZ$9,1,MATCH(EM$6,Responses!$1:$1,0)),1))))</f>
        <v>3</v>
      </c>
      <c r="EN14">
        <f>IF(INDEX(Responses!$A$9:$ZZ$9,1,MATCH(EN$6,Responses!$1:$1,0))&amp;""="","",IF(LEFT(INDEX(Responses!$A$9:$ZZ$9,1,MATCH(EN$6,Responses!$1:$1,0)),1)="N","NA",VALUE(LEFT(INDEX(Responses!$A$9:$ZZ$9,1,MATCH(EN$6,Responses!$1:$1,0)),1))))</f>
        <v>5</v>
      </c>
      <c r="EO14">
        <f>IF(INDEX(Responses!$A$9:$ZZ$9,1,MATCH(EO$6,Responses!$1:$1,0))&amp;""="","",IF(LEFT(INDEX(Responses!$A$9:$ZZ$9,1,MATCH(EO$6,Responses!$1:$1,0)),1)="N","NA",VALUE(LEFT(INDEX(Responses!$A$9:$ZZ$9,1,MATCH(EO$6,Responses!$1:$1,0)),1))))</f>
        <v>3</v>
      </c>
      <c r="EP14">
        <f>IF(INDEX(Responses!$A$9:$ZZ$9,1,MATCH(EP$6,Responses!$1:$1,0))&amp;""="","",IF(LEFT(INDEX(Responses!$A$9:$ZZ$9,1,MATCH(EP$6,Responses!$1:$1,0)),1)="N","NA",VALUE(LEFT(INDEX(Responses!$A$9:$ZZ$9,1,MATCH(EP$6,Responses!$1:$1,0)),1))))</f>
        <v>4</v>
      </c>
      <c r="EQ14">
        <f>IF(INDEX(Responses!$A$9:$ZZ$9,1,MATCH(EQ$6,Responses!$1:$1,0))&amp;""="","",IF(LEFT(INDEX(Responses!$A$9:$ZZ$9,1,MATCH(EQ$6,Responses!$1:$1,0)),1)="N","NA",VALUE(LEFT(INDEX(Responses!$A$9:$ZZ$9,1,MATCH(EQ$6,Responses!$1:$1,0)),1))))</f>
        <v>4</v>
      </c>
      <c r="ER14">
        <f>IF(INDEX(Responses!$A$9:$ZZ$9,1,MATCH(ER$6,Responses!$1:$1,0))&amp;""="","",IF(LEFT(INDEX(Responses!$A$9:$ZZ$9,1,MATCH(ER$6,Responses!$1:$1,0)),1)="N","NA",VALUE(LEFT(INDEX(Responses!$A$9:$ZZ$9,1,MATCH(ER$6,Responses!$1:$1,0)),1))))</f>
        <v>5</v>
      </c>
      <c r="ES14">
        <f>IF(INDEX(Responses!$A$9:$ZZ$9,1,MATCH(ES$6,Responses!$1:$1,0))&amp;""="","",IF(LEFT(INDEX(Responses!$A$9:$ZZ$9,1,MATCH(ES$6,Responses!$1:$1,0)),1)="N","NA",VALUE(LEFT(INDEX(Responses!$A$9:$ZZ$9,1,MATCH(ES$6,Responses!$1:$1,0)),1))))</f>
        <v>4</v>
      </c>
      <c r="ET14">
        <f>--ISNUMBER(SEARCH(INDEX(Items!$G:$G,MATCH(ET$1,Items!$A:$A,0)),INDEX(Responses!$A$9:$ZZ$9,1,MATCH(ET$6,Responses!$1:$1,0))))</f>
        <v>0</v>
      </c>
      <c r="EU14">
        <f>--ISNUMBER(SEARCH(INDEX(Items!$G:$G,MATCH(EU$1,Items!$A:$A,0)),INDEX(Responses!$A$9:$ZZ$9,1,MATCH(EU$6,Responses!$1:$1,0))))</f>
        <v>0</v>
      </c>
      <c r="EV14">
        <f>--ISNUMBER(SEARCH(INDEX(Items!$G:$G,MATCH(EV$1,Items!$A:$A,0)),INDEX(Responses!$A$9:$ZZ$9,1,MATCH(EV$6,Responses!$1:$1,0))))</f>
        <v>1</v>
      </c>
      <c r="EW14">
        <f>--ISNUMBER(SEARCH(INDEX(Items!$G:$G,MATCH(EW$1,Items!$A:$A,0)),INDEX(Responses!$A$9:$ZZ$9,1,MATCH(EW$6,Responses!$1:$1,0))))</f>
        <v>0</v>
      </c>
      <c r="EX14">
        <f>--ISNUMBER(SEARCH(INDEX(Items!$G:$G,MATCH(EX$1,Items!$A:$A,0)),INDEX(Responses!$A$9:$ZZ$9,1,MATCH(EX$6,Responses!$1:$1,0))))</f>
        <v>0</v>
      </c>
      <c r="EY14">
        <f>--ISNUMBER(SEARCH(INDEX(Items!$G:$G,MATCH(EY$1,Items!$A:$A,0)),INDEX(Responses!$A$9:$ZZ$9,1,MATCH(EY$6,Responses!$1:$1,0))))</f>
        <v>0</v>
      </c>
      <c r="EZ14">
        <f>--ISNUMBER(SEARCH(INDEX(Items!$G:$G,MATCH(EZ$1,Items!$A:$A,0)),INDEX(Responses!$A$9:$ZZ$9,1,MATCH(EZ$6,Responses!$1:$1,0))))</f>
        <v>0</v>
      </c>
      <c r="FA14">
        <f>--ISNUMBER(SEARCH(INDEX(Items!$G:$G,MATCH(FA$1,Items!$A:$A,0)),INDEX(Responses!$A$9:$ZZ$9,1,MATCH(FA$6,Responses!$1:$1,0))))</f>
        <v>0</v>
      </c>
      <c r="FB14">
        <f>--ISNUMBER(SEARCH(INDEX(Items!$G:$G,MATCH(FB$1,Items!$A:$A,0)),INDEX(Responses!$A$9:$ZZ$9,1,MATCH(FB$6,Responses!$1:$1,0))))</f>
        <v>0</v>
      </c>
      <c r="FC14">
        <f>--ISNUMBER(SEARCH(INDEX(Items!$G:$G,MATCH(FC$1,Items!$A:$A,0)),INDEX(Responses!$A$9:$ZZ$9,1,MATCH(FC$6,Responses!$1:$1,0))))</f>
        <v>1</v>
      </c>
      <c r="FD14">
        <f>--ISNUMBER(SEARCH(INDEX(Items!$G:$G,MATCH(FD$1,Items!$A:$A,0)),INDEX(Responses!$A$9:$ZZ$9,1,MATCH(FD$6,Responses!$1:$1,0))))</f>
        <v>1</v>
      </c>
      <c r="FE14">
        <f>--ISNUMBER(SEARCH(INDEX(Items!$G:$G,MATCH(FE$1,Items!$A:$A,0)),INDEX(Responses!$A$9:$ZZ$9,1,MATCH(FE$6,Responses!$1:$1,0))))</f>
        <v>0</v>
      </c>
      <c r="FF14">
        <f>--ISNUMBER(SEARCH(INDEX(Items!$G:$G,MATCH(FF$1,Items!$A:$A,0)),INDEX(Responses!$A$9:$ZZ$9,1,MATCH(FF$6,Responses!$1:$1,0))))</f>
        <v>0</v>
      </c>
      <c r="FG14">
        <f>--ISNUMBER(SEARCH(INDEX(Items!$G:$G,MATCH(FG$1,Items!$A:$A,0)),INDEX(Responses!$A$9:$ZZ$9,1,MATCH(FG$6,Responses!$1:$1,0))))</f>
        <v>0</v>
      </c>
      <c r="FH14">
        <f>--ISNUMBER(SEARCH(INDEX(Items!$G:$G,MATCH(FH$1,Items!$A:$A,0)),INDEX(Responses!$A$9:$ZZ$9,1,MATCH(FH$6,Responses!$1:$1,0))))</f>
        <v>0</v>
      </c>
      <c r="FI14">
        <f>--ISNUMBER(SEARCH(INDEX(Items!$G:$G,MATCH(FI$1,Items!$A:$A,0)),INDEX(Responses!$A$9:$ZZ$9,1,MATCH(FI$6,Responses!$1:$1,0))))</f>
        <v>0</v>
      </c>
      <c r="FJ14">
        <f>--ISNUMBER(SEARCH(INDEX(Items!$G:$G,MATCH(FJ$1,Items!$A:$A,0)),INDEX(Responses!$A$9:$ZZ$9,1,MATCH(FJ$6,Responses!$1:$1,0))))</f>
        <v>1</v>
      </c>
      <c r="FK14">
        <f>--ISNUMBER(SEARCH(INDEX(Items!$G:$G,MATCH(FK$1,Items!$A:$A,0)),INDEX(Responses!$A$9:$ZZ$9,1,MATCH(FK$6,Responses!$1:$1,0))))</f>
        <v>1</v>
      </c>
      <c r="FL14">
        <f>--ISNUMBER(SEARCH(INDEX(Items!$G:$G,MATCH(FL$1,Items!$A:$A,0)),INDEX(Responses!$A$9:$ZZ$9,1,MATCH(FL$6,Responses!$1:$1,0))))</f>
        <v>0</v>
      </c>
      <c r="FM14">
        <f>--ISNUMBER(SEARCH(INDEX(Items!$G:$G,MATCH(FM$1,Items!$A:$A,0)),INDEX(Responses!$A$9:$ZZ$9,1,MATCH(FM$6,Responses!$1:$1,0))))</f>
        <v>0</v>
      </c>
      <c r="FN14">
        <f>--ISNUMBER(SEARCH(INDEX(Items!$G:$G,MATCH(FN$1,Items!$A:$A,0)),INDEX(Responses!$A$9:$ZZ$9,1,MATCH(FN$6,Responses!$1:$1,0))))</f>
        <v>0</v>
      </c>
      <c r="FO14">
        <f>--ISNUMBER(SEARCH(INDEX(Items!$G:$G,MATCH(FO$1,Items!$A:$A,0)),INDEX(Responses!$A$9:$ZZ$9,1,MATCH(FO$6,Responses!$1:$1,0))))</f>
        <v>0</v>
      </c>
      <c r="FP14">
        <f>--ISNUMBER(SEARCH(INDEX(Items!$G:$G,MATCH(FP$1,Items!$A:$A,0)),INDEX(Responses!$A$9:$ZZ$9,1,MATCH(FP$6,Responses!$1:$1,0))))</f>
        <v>0</v>
      </c>
      <c r="FQ14">
        <f>--ISNUMBER(SEARCH(INDEX(Items!$G:$G,MATCH(FQ$1,Items!$A:$A,0)),INDEX(Responses!$A$9:$ZZ$9,1,MATCH(FQ$6,Responses!$1:$1,0))))</f>
        <v>0</v>
      </c>
      <c r="FR14">
        <f>--ISNUMBER(SEARCH(INDEX(Items!$G:$G,MATCH(FR$1,Items!$A:$A,0)),INDEX(Responses!$A$9:$ZZ$9,1,MATCH(FR$6,Responses!$1:$1,0))))</f>
        <v>0</v>
      </c>
      <c r="FS14">
        <f>--ISNUMBER(SEARCH(INDEX(Items!$G:$G,MATCH(FS$1,Items!$A:$A,0)),INDEX(Responses!$A$9:$ZZ$9,1,MATCH(FS$6,Responses!$1:$1,0))))</f>
        <v>1</v>
      </c>
      <c r="FT14">
        <f>--ISNUMBER(SEARCH(INDEX(Items!$G:$G,MATCH(FT$1,Items!$A:$A,0)),INDEX(Responses!$A$9:$ZZ$9,1,MATCH(FT$6,Responses!$1:$1,0))))</f>
        <v>0</v>
      </c>
      <c r="FU14">
        <f>--ISNUMBER(SEARCH(INDEX(Items!$G:$G,MATCH(FU$1,Items!$A:$A,0)),INDEX(Responses!$A$9:$ZZ$9,1,MATCH(FU$6,Responses!$1:$1,0))))</f>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Q9"/>
  <sheetViews>
    <sheetView workbookViewId="0"/>
  </sheetViews>
  <sheetFormatPr defaultRowHeight="14.25" x14ac:dyDescent="0.45"/>
  <sheetData>
    <row r="1" spans="1:69" x14ac:dyDescent="0.45">
      <c r="A1" t="s">
        <v>593</v>
      </c>
      <c r="B1" t="s">
        <v>594</v>
      </c>
      <c r="C1" t="s">
        <v>595</v>
      </c>
      <c r="D1" t="s">
        <v>596</v>
      </c>
      <c r="E1" t="s">
        <v>597</v>
      </c>
      <c r="F1" t="s">
        <v>598</v>
      </c>
      <c r="G1" t="s">
        <v>599</v>
      </c>
      <c r="H1" t="s">
        <v>600</v>
      </c>
      <c r="I1" t="s">
        <v>601</v>
      </c>
      <c r="J1" t="s">
        <v>602</v>
      </c>
      <c r="K1" t="s">
        <v>603</v>
      </c>
      <c r="L1" t="s">
        <v>604</v>
      </c>
      <c r="M1" t="s">
        <v>605</v>
      </c>
      <c r="N1" t="s">
        <v>606</v>
      </c>
      <c r="O1" t="s">
        <v>607</v>
      </c>
      <c r="P1" t="s">
        <v>608</v>
      </c>
      <c r="Q1" t="s">
        <v>609</v>
      </c>
      <c r="R1" t="s">
        <v>610</v>
      </c>
      <c r="S1" t="s">
        <v>611</v>
      </c>
      <c r="T1" t="s">
        <v>612</v>
      </c>
      <c r="U1" t="s">
        <v>613</v>
      </c>
      <c r="V1" t="s">
        <v>614</v>
      </c>
      <c r="W1" t="s">
        <v>615</v>
      </c>
      <c r="X1" t="s">
        <v>616</v>
      </c>
      <c r="Y1" t="s">
        <v>617</v>
      </c>
      <c r="Z1" t="s">
        <v>618</v>
      </c>
      <c r="AA1" t="s">
        <v>619</v>
      </c>
      <c r="AB1" t="s">
        <v>620</v>
      </c>
      <c r="AC1" t="s">
        <v>621</v>
      </c>
      <c r="AD1" t="s">
        <v>622</v>
      </c>
      <c r="AE1" t="s">
        <v>623</v>
      </c>
      <c r="AF1" t="s">
        <v>624</v>
      </c>
      <c r="AG1" t="s">
        <v>625</v>
      </c>
      <c r="AH1" t="s">
        <v>626</v>
      </c>
      <c r="AI1" t="s">
        <v>627</v>
      </c>
      <c r="AJ1" t="s">
        <v>628</v>
      </c>
      <c r="AK1" t="s">
        <v>629</v>
      </c>
      <c r="AL1" t="s">
        <v>630</v>
      </c>
      <c r="AM1" t="s">
        <v>631</v>
      </c>
      <c r="AN1" t="s">
        <v>632</v>
      </c>
      <c r="AO1" t="s">
        <v>633</v>
      </c>
      <c r="AP1" t="s">
        <v>634</v>
      </c>
      <c r="AQ1" t="s">
        <v>635</v>
      </c>
      <c r="AR1" t="s">
        <v>636</v>
      </c>
      <c r="AS1" t="s">
        <v>637</v>
      </c>
      <c r="AT1" t="s">
        <v>638</v>
      </c>
      <c r="AU1" t="s">
        <v>639</v>
      </c>
      <c r="AV1" t="s">
        <v>640</v>
      </c>
      <c r="AW1" t="s">
        <v>641</v>
      </c>
      <c r="AX1" t="s">
        <v>642</v>
      </c>
      <c r="AY1" t="s">
        <v>643</v>
      </c>
      <c r="AZ1" t="s">
        <v>644</v>
      </c>
      <c r="BA1" t="s">
        <v>645</v>
      </c>
      <c r="BB1" t="s">
        <v>646</v>
      </c>
      <c r="BC1" t="s">
        <v>647</v>
      </c>
      <c r="BD1" t="s">
        <v>648</v>
      </c>
      <c r="BE1" t="s">
        <v>649</v>
      </c>
      <c r="BF1" t="s">
        <v>650</v>
      </c>
      <c r="BG1" t="s">
        <v>651</v>
      </c>
      <c r="BH1" t="s">
        <v>652</v>
      </c>
      <c r="BI1" t="s">
        <v>653</v>
      </c>
      <c r="BJ1" t="s">
        <v>654</v>
      </c>
      <c r="BK1" t="s">
        <v>655</v>
      </c>
      <c r="BL1" t="s">
        <v>656</v>
      </c>
      <c r="BM1" t="s">
        <v>657</v>
      </c>
      <c r="BN1" t="s">
        <v>658</v>
      </c>
      <c r="BO1" t="s">
        <v>659</v>
      </c>
      <c r="BP1" t="s">
        <v>660</v>
      </c>
      <c r="BQ1" t="s">
        <v>661</v>
      </c>
    </row>
    <row r="2" spans="1:69" x14ac:dyDescent="0.45">
      <c r="A2" t="str">
        <f>Values!$A$7</f>
        <v>Maya Okafor</v>
      </c>
      <c r="B2">
        <f>SUMPRODUCT((Values!$G7:$W7=1)*(Values!$G$4:$W$4=0))</f>
        <v>5</v>
      </c>
      <c r="C2">
        <f>SUMPRODUCT((Values!$G7:$W7=2)*(Values!$G$4:$W$4=0))</f>
        <v>3</v>
      </c>
      <c r="D2">
        <f>SUMPRODUCT((Values!$G7:$W7=3)*(Values!$G$4:$W$4=0))</f>
        <v>2</v>
      </c>
      <c r="E2">
        <f>SUMPRODUCT((Values!$G7:$W7=4)*(Values!$G$4:$W$4=0))</f>
        <v>2</v>
      </c>
      <c r="F2">
        <f>SUMPRODUCT((Values!$G7:$W7=5)*(Values!$G$4:$W$4=0))</f>
        <v>0</v>
      </c>
      <c r="G2">
        <f>SUMPRODUCT((Values!$G7:$W7=1)*(Values!$G$4:$W$4=1))</f>
        <v>1</v>
      </c>
      <c r="H2">
        <f>SUMPRODUCT((Values!$G7:$W7=2)*(Values!$G$4:$W$4=1))</f>
        <v>1</v>
      </c>
      <c r="I2">
        <f>SUMPRODUCT((Values!$G7:$W7=3)*(Values!$G$4:$W$4=1))</f>
        <v>1</v>
      </c>
      <c r="J2">
        <f>SUMPRODUCT((Values!$G7:$W7=4)*(Values!$G$4:$W$4=1))</f>
        <v>1</v>
      </c>
      <c r="K2">
        <f>SUMPRODUCT((Values!$G7:$W7=5)*(Values!$G$4:$W$4=1))</f>
        <v>1</v>
      </c>
      <c r="L2">
        <f t="shared" ref="L2:L9" si="0">MAX(B2:F2)</f>
        <v>5</v>
      </c>
      <c r="M2">
        <f t="shared" ref="M2:M9" si="1">COUNTIF(B2:F2,L2)</f>
        <v>1</v>
      </c>
      <c r="N2">
        <f t="shared" ref="N2:N9" si="2">IF(B2=L2,IF(AND(1=3,M2&gt;1),999,G2*10+1),999)</f>
        <v>11</v>
      </c>
      <c r="O2">
        <f t="shared" ref="O2:O9" si="3">IF(C2=L2,IF(AND(2=3,M2&gt;1),999,H2*10+2),999)</f>
        <v>999</v>
      </c>
      <c r="P2">
        <f t="shared" ref="P2:P9" si="4">IF(D2=L2,IF(AND(3=3,M2&gt;1),999,I2*10+3),999)</f>
        <v>999</v>
      </c>
      <c r="Q2">
        <f t="shared" ref="Q2:Q9" si="5">IF(E2=L2,IF(AND(4=3,M2&gt;1),999,J2*10+4),999)</f>
        <v>999</v>
      </c>
      <c r="R2">
        <f t="shared" ref="R2:R9" si="6">IF(F2=L2,IF(AND(5=3,M2&gt;1),999,K2*10+5),999)</f>
        <v>999</v>
      </c>
      <c r="S2">
        <f t="shared" ref="S2:S9" si="7">MATCH(MIN(N2:R2),N2:R2,0)</f>
        <v>1</v>
      </c>
      <c r="T2">
        <f t="shared" ref="T2:T9" si="8">INDEX(G2:K2,S2)</f>
        <v>1</v>
      </c>
      <c r="U2">
        <f>SUMPRODUCT((Values!$G$4:$W$4=1)*ISNUMBER(Values!$G7:$W7))</f>
        <v>5</v>
      </c>
      <c r="V2">
        <f>MAX(COUNTIF(Values!$G7:$W7,1),COUNTIF(Values!$G7:$W7,2),COUNTIF(Values!$G7:$W7,3),COUNTIF(Values!$G7:$W7,4),COUNTIF(Values!$G7:$W7,5))/COUNT(Values!$G7:$W7)</f>
        <v>0.35294117647058826</v>
      </c>
      <c r="W2">
        <f t="shared" ref="W2:W9" si="9">--OR(AND(S2&lt;&gt;3,T2&gt;=U2-flat_reverse_slack),V2&gt;=flat_modal_share)</f>
        <v>0</v>
      </c>
      <c r="X2">
        <f>SUMPRODUCT((Values!$AG7:$BJ7=1)*(Values!$AG$4:$BJ$4=0))</f>
        <v>3</v>
      </c>
      <c r="Y2">
        <f>SUMPRODUCT((Values!$AG7:$BJ7=2)*(Values!$AG$4:$BJ$4=0))</f>
        <v>7</v>
      </c>
      <c r="Z2">
        <f>SUMPRODUCT((Values!$AG7:$BJ7=3)*(Values!$AG$4:$BJ$4=0))</f>
        <v>3</v>
      </c>
      <c r="AA2">
        <f>SUMPRODUCT((Values!$AG7:$BJ7=4)*(Values!$AG$4:$BJ$4=0))</f>
        <v>5</v>
      </c>
      <c r="AB2">
        <f>SUMPRODUCT((Values!$AG7:$BJ7=5)*(Values!$AG$4:$BJ$4=0))</f>
        <v>5</v>
      </c>
      <c r="AC2">
        <f>SUMPRODUCT((Values!$AG7:$BJ7=1)*(Values!$AG$4:$BJ$4=1))</f>
        <v>3</v>
      </c>
      <c r="AD2">
        <f>SUMPRODUCT((Values!$AG7:$BJ7=2)*(Values!$AG$4:$BJ$4=1))</f>
        <v>1</v>
      </c>
      <c r="AE2">
        <f>SUMPRODUCT((Values!$AG7:$BJ7=3)*(Values!$AG$4:$BJ$4=1))</f>
        <v>1</v>
      </c>
      <c r="AF2">
        <f>SUMPRODUCT((Values!$AG7:$BJ7=4)*(Values!$AG$4:$BJ$4=1))</f>
        <v>0</v>
      </c>
      <c r="AG2">
        <f>SUMPRODUCT((Values!$AG7:$BJ7=5)*(Values!$AG$4:$BJ$4=1))</f>
        <v>2</v>
      </c>
      <c r="AH2">
        <f t="shared" ref="AH2:AH9" si="10">MAX(X2:AB2)</f>
        <v>7</v>
      </c>
      <c r="AI2">
        <f t="shared" ref="AI2:AI9" si="11">COUNTIF(X2:AB2,AH2)</f>
        <v>1</v>
      </c>
      <c r="AJ2">
        <f t="shared" ref="AJ2:AJ9" si="12">IF(X2=AH2,IF(AND(1=3,AI2&gt;1),999,AC2*10+1),999)</f>
        <v>999</v>
      </c>
      <c r="AK2">
        <f t="shared" ref="AK2:AK9" si="13">IF(Y2=AH2,IF(AND(2=3,AI2&gt;1),999,AD2*10+2),999)</f>
        <v>12</v>
      </c>
      <c r="AL2">
        <f t="shared" ref="AL2:AL9" si="14">IF(Z2=AH2,IF(AND(3=3,AI2&gt;1),999,AE2*10+3),999)</f>
        <v>999</v>
      </c>
      <c r="AM2">
        <f t="shared" ref="AM2:AM9" si="15">IF(AA2=AH2,IF(AND(4=3,AI2&gt;1),999,AF2*10+4),999)</f>
        <v>999</v>
      </c>
      <c r="AN2">
        <f t="shared" ref="AN2:AN9" si="16">IF(AB2=AH2,IF(AND(5=3,AI2&gt;1),999,AG2*10+5),999)</f>
        <v>999</v>
      </c>
      <c r="AO2">
        <f t="shared" ref="AO2:AO9" si="17">MATCH(MIN(AJ2:AN2),AJ2:AN2,0)</f>
        <v>2</v>
      </c>
      <c r="AP2">
        <f t="shared" ref="AP2:AP9" si="18">INDEX(AC2:AG2,AO2)</f>
        <v>1</v>
      </c>
      <c r="AQ2">
        <f>SUMPRODUCT((Values!$AG$4:$BJ$4=1)*ISNUMBER(Values!$AG7:$BJ7))</f>
        <v>7</v>
      </c>
      <c r="AR2">
        <f>MAX(COUNTIF(Values!$AG7:$BJ7,1),COUNTIF(Values!$AG7:$BJ7,2),COUNTIF(Values!$AG7:$BJ7,3),COUNTIF(Values!$AG7:$BJ7,4),COUNTIF(Values!$AG7:$BJ7,5))/COUNT(Values!$AG7:$BJ7)</f>
        <v>0.26666666666666666</v>
      </c>
      <c r="AS2">
        <f t="shared" ref="AS2:AS9" si="19">--OR(AND(AO2&lt;&gt;3,AP2&gt;=AQ2-flat_reverse_slack),AR2&gt;=flat_modal_share)</f>
        <v>0</v>
      </c>
      <c r="AT2">
        <f>SUMPRODUCT((Values!$BK7:$CN7=1)*(Values!$BK$4:$CN$4=0))</f>
        <v>2</v>
      </c>
      <c r="AU2">
        <f>SUMPRODUCT((Values!$BK7:$CN7=2)*(Values!$BK$4:$CN$4=0))</f>
        <v>6</v>
      </c>
      <c r="AV2">
        <f>SUMPRODUCT((Values!$BK7:$CN7=3)*(Values!$BK$4:$CN$4=0))</f>
        <v>6</v>
      </c>
      <c r="AW2">
        <f>SUMPRODUCT((Values!$BK7:$CN7=4)*(Values!$BK$4:$CN$4=0))</f>
        <v>7</v>
      </c>
      <c r="AX2">
        <f>SUMPRODUCT((Values!$BK7:$CN7=5)*(Values!$BK$4:$CN$4=0))</f>
        <v>2</v>
      </c>
      <c r="AY2">
        <f>SUMPRODUCT((Values!$BK7:$CN7=1)*(Values!$BK$4:$CN$4=1))</f>
        <v>1</v>
      </c>
      <c r="AZ2">
        <f>SUMPRODUCT((Values!$BK7:$CN7=2)*(Values!$BK$4:$CN$4=1))</f>
        <v>4</v>
      </c>
      <c r="BA2">
        <f>SUMPRODUCT((Values!$BK7:$CN7=3)*(Values!$BK$4:$CN$4=1))</f>
        <v>1</v>
      </c>
      <c r="BB2">
        <f>SUMPRODUCT((Values!$BK7:$CN7=4)*(Values!$BK$4:$CN$4=1))</f>
        <v>1</v>
      </c>
      <c r="BC2">
        <f>SUMPRODUCT((Values!$BK7:$CN7=5)*(Values!$BK$4:$CN$4=1))</f>
        <v>0</v>
      </c>
      <c r="BD2">
        <f t="shared" ref="BD2:BD9" si="20">MAX(AT2:AX2)</f>
        <v>7</v>
      </c>
      <c r="BE2">
        <f t="shared" ref="BE2:BE9" si="21">COUNTIF(AT2:AX2,BD2)</f>
        <v>1</v>
      </c>
      <c r="BF2">
        <f t="shared" ref="BF2:BF9" si="22">IF(AT2=BD2,IF(AND(1=3,BE2&gt;1),999,AY2*10+1),999)</f>
        <v>999</v>
      </c>
      <c r="BG2">
        <f t="shared" ref="BG2:BG9" si="23">IF(AU2=BD2,IF(AND(2=3,BE2&gt;1),999,AZ2*10+2),999)</f>
        <v>999</v>
      </c>
      <c r="BH2">
        <f t="shared" ref="BH2:BH9" si="24">IF(AV2=BD2,IF(AND(3=3,BE2&gt;1),999,BA2*10+3),999)</f>
        <v>999</v>
      </c>
      <c r="BI2">
        <f t="shared" ref="BI2:BI9" si="25">IF(AW2=BD2,IF(AND(4=3,BE2&gt;1),999,BB2*10+4),999)</f>
        <v>14</v>
      </c>
      <c r="BJ2">
        <f t="shared" ref="BJ2:BJ9" si="26">IF(AX2=BD2,IF(AND(5=3,BE2&gt;1),999,BC2*10+5),999)</f>
        <v>999</v>
      </c>
      <c r="BK2">
        <f t="shared" ref="BK2:BK9" si="27">MATCH(MIN(BF2:BJ2),BF2:BJ2,0)</f>
        <v>4</v>
      </c>
      <c r="BL2">
        <f t="shared" ref="BL2:BL9" si="28">INDEX(AY2:BC2,BK2)</f>
        <v>1</v>
      </c>
      <c r="BM2">
        <f>SUMPRODUCT((Values!$BK$4:$CN$4=1)*ISNUMBER(Values!$BK7:$CN7))</f>
        <v>7</v>
      </c>
      <c r="BN2">
        <f>MAX(COUNTIF(Values!$BK7:$CN7,1),COUNTIF(Values!$BK7:$CN7,2),COUNTIF(Values!$BK7:$CN7,3),COUNTIF(Values!$BK7:$CN7,4),COUNTIF(Values!$BK7:$CN7,5))/COUNT(Values!$BK7:$CN7)</f>
        <v>0.33333333333333331</v>
      </c>
      <c r="BO2">
        <f t="shared" ref="BO2:BO9" si="29">--OR(AND(BK2&lt;&gt;3,BL2&gt;=BM2-flat_reverse_slack),BN2&gt;=flat_modal_share)</f>
        <v>0</v>
      </c>
      <c r="BP2">
        <f>SUMPRODUCT((Values!$AG7:$BJ7=Values!$BK7:$CN7)*ISNUMBER(Values!$AG7:$BJ7)*ISNUMBER(Values!$BK7:$CN7))</f>
        <v>15</v>
      </c>
      <c r="BQ2">
        <f t="shared" ref="BQ2:BQ9" si="30">--(BP2&gt;=stance_identical_min)</f>
        <v>0</v>
      </c>
    </row>
    <row r="3" spans="1:69" x14ac:dyDescent="0.45">
      <c r="A3" t="str">
        <f>Values!$A$8</f>
        <v>Tom Lindqvist</v>
      </c>
      <c r="B3">
        <f>SUMPRODUCT((Values!$G8:$W8=1)*(Values!$G$4:$W$4=0))</f>
        <v>1</v>
      </c>
      <c r="C3">
        <f>SUMPRODUCT((Values!$G8:$W8=2)*(Values!$G$4:$W$4=0))</f>
        <v>1</v>
      </c>
      <c r="D3">
        <f>SUMPRODUCT((Values!$G8:$W8=3)*(Values!$G$4:$W$4=0))</f>
        <v>0</v>
      </c>
      <c r="E3">
        <f>SUMPRODUCT((Values!$G8:$W8=4)*(Values!$G$4:$W$4=0))</f>
        <v>5</v>
      </c>
      <c r="F3">
        <f>SUMPRODUCT((Values!$G8:$W8=5)*(Values!$G$4:$W$4=0))</f>
        <v>5</v>
      </c>
      <c r="G3">
        <f>SUMPRODUCT((Values!$G8:$W8=1)*(Values!$G$4:$W$4=1))</f>
        <v>1</v>
      </c>
      <c r="H3">
        <f>SUMPRODUCT((Values!$G8:$W8=2)*(Values!$G$4:$W$4=1))</f>
        <v>2</v>
      </c>
      <c r="I3">
        <f>SUMPRODUCT((Values!$G8:$W8=3)*(Values!$G$4:$W$4=1))</f>
        <v>1</v>
      </c>
      <c r="J3">
        <f>SUMPRODUCT((Values!$G8:$W8=4)*(Values!$G$4:$W$4=1))</f>
        <v>1</v>
      </c>
      <c r="K3">
        <f>SUMPRODUCT((Values!$G8:$W8=5)*(Values!$G$4:$W$4=1))</f>
        <v>0</v>
      </c>
      <c r="L3">
        <f t="shared" si="0"/>
        <v>5</v>
      </c>
      <c r="M3">
        <f t="shared" si="1"/>
        <v>2</v>
      </c>
      <c r="N3">
        <f t="shared" si="2"/>
        <v>999</v>
      </c>
      <c r="O3">
        <f t="shared" si="3"/>
        <v>999</v>
      </c>
      <c r="P3">
        <f t="shared" si="4"/>
        <v>999</v>
      </c>
      <c r="Q3">
        <f t="shared" si="5"/>
        <v>14</v>
      </c>
      <c r="R3">
        <f t="shared" si="6"/>
        <v>5</v>
      </c>
      <c r="S3">
        <f t="shared" si="7"/>
        <v>5</v>
      </c>
      <c r="T3">
        <f t="shared" si="8"/>
        <v>0</v>
      </c>
      <c r="U3">
        <f>SUMPRODUCT((Values!$G$4:$W$4=1)*ISNUMBER(Values!$G8:$W8))</f>
        <v>5</v>
      </c>
      <c r="V3">
        <f>MAX(COUNTIF(Values!$G8:$W8,1),COUNTIF(Values!$G8:$W8,2),COUNTIF(Values!$G8:$W8,3),COUNTIF(Values!$G8:$W8,4),COUNTIF(Values!$G8:$W8,5))/COUNT(Values!$G8:$W8)</f>
        <v>0.35294117647058826</v>
      </c>
      <c r="W3">
        <f t="shared" si="9"/>
        <v>0</v>
      </c>
      <c r="X3">
        <f>SUMPRODUCT((Values!$AG8:$BJ8=1)*(Values!$AG$4:$BJ$4=0))</f>
        <v>4</v>
      </c>
      <c r="Y3">
        <f>SUMPRODUCT((Values!$AG8:$BJ8=2)*(Values!$AG$4:$BJ$4=0))</f>
        <v>4</v>
      </c>
      <c r="Z3">
        <f>SUMPRODUCT((Values!$AG8:$BJ8=3)*(Values!$AG$4:$BJ$4=0))</f>
        <v>2</v>
      </c>
      <c r="AA3">
        <f>SUMPRODUCT((Values!$AG8:$BJ8=4)*(Values!$AG$4:$BJ$4=0))</f>
        <v>5</v>
      </c>
      <c r="AB3">
        <f>SUMPRODUCT((Values!$AG8:$BJ8=5)*(Values!$AG$4:$BJ$4=0))</f>
        <v>8</v>
      </c>
      <c r="AC3">
        <f>SUMPRODUCT((Values!$AG8:$BJ8=1)*(Values!$AG$4:$BJ$4=1))</f>
        <v>1</v>
      </c>
      <c r="AD3">
        <f>SUMPRODUCT((Values!$AG8:$BJ8=2)*(Values!$AG$4:$BJ$4=1))</f>
        <v>3</v>
      </c>
      <c r="AE3">
        <f>SUMPRODUCT((Values!$AG8:$BJ8=3)*(Values!$AG$4:$BJ$4=1))</f>
        <v>0</v>
      </c>
      <c r="AF3">
        <f>SUMPRODUCT((Values!$AG8:$BJ8=4)*(Values!$AG$4:$BJ$4=1))</f>
        <v>2</v>
      </c>
      <c r="AG3">
        <f>SUMPRODUCT((Values!$AG8:$BJ8=5)*(Values!$AG$4:$BJ$4=1))</f>
        <v>1</v>
      </c>
      <c r="AH3">
        <f t="shared" si="10"/>
        <v>8</v>
      </c>
      <c r="AI3">
        <f t="shared" si="11"/>
        <v>1</v>
      </c>
      <c r="AJ3">
        <f t="shared" si="12"/>
        <v>999</v>
      </c>
      <c r="AK3">
        <f t="shared" si="13"/>
        <v>999</v>
      </c>
      <c r="AL3">
        <f t="shared" si="14"/>
        <v>999</v>
      </c>
      <c r="AM3">
        <f t="shared" si="15"/>
        <v>999</v>
      </c>
      <c r="AN3">
        <f t="shared" si="16"/>
        <v>15</v>
      </c>
      <c r="AO3">
        <f t="shared" si="17"/>
        <v>5</v>
      </c>
      <c r="AP3">
        <f t="shared" si="18"/>
        <v>1</v>
      </c>
      <c r="AQ3">
        <f>SUMPRODUCT((Values!$AG$4:$BJ$4=1)*ISNUMBER(Values!$AG8:$BJ8))</f>
        <v>7</v>
      </c>
      <c r="AR3">
        <f>MAX(COUNTIF(Values!$AG8:$BJ8,1),COUNTIF(Values!$AG8:$BJ8,2),COUNTIF(Values!$AG8:$BJ8,3),COUNTIF(Values!$AG8:$BJ8,4),COUNTIF(Values!$AG8:$BJ8,5))/COUNT(Values!$AG8:$BJ8)</f>
        <v>0.3</v>
      </c>
      <c r="AS3">
        <f t="shared" si="19"/>
        <v>0</v>
      </c>
      <c r="AT3">
        <f>SUMPRODUCT((Values!$BK8:$CN8=1)*(Values!$BK$4:$CN$4=0))</f>
        <v>2</v>
      </c>
      <c r="AU3">
        <f>SUMPRODUCT((Values!$BK8:$CN8=2)*(Values!$BK$4:$CN$4=0))</f>
        <v>5</v>
      </c>
      <c r="AV3">
        <f>SUMPRODUCT((Values!$BK8:$CN8=3)*(Values!$BK$4:$CN$4=0))</f>
        <v>4</v>
      </c>
      <c r="AW3">
        <f>SUMPRODUCT((Values!$BK8:$CN8=4)*(Values!$BK$4:$CN$4=0))</f>
        <v>8</v>
      </c>
      <c r="AX3">
        <f>SUMPRODUCT((Values!$BK8:$CN8=5)*(Values!$BK$4:$CN$4=0))</f>
        <v>4</v>
      </c>
      <c r="AY3">
        <f>SUMPRODUCT((Values!$BK8:$CN8=1)*(Values!$BK$4:$CN$4=1))</f>
        <v>3</v>
      </c>
      <c r="AZ3">
        <f>SUMPRODUCT((Values!$BK8:$CN8=2)*(Values!$BK$4:$CN$4=1))</f>
        <v>1</v>
      </c>
      <c r="BA3">
        <f>SUMPRODUCT((Values!$BK8:$CN8=3)*(Values!$BK$4:$CN$4=1))</f>
        <v>1</v>
      </c>
      <c r="BB3">
        <f>SUMPRODUCT((Values!$BK8:$CN8=4)*(Values!$BK$4:$CN$4=1))</f>
        <v>2</v>
      </c>
      <c r="BC3">
        <f>SUMPRODUCT((Values!$BK8:$CN8=5)*(Values!$BK$4:$CN$4=1))</f>
        <v>0</v>
      </c>
      <c r="BD3">
        <f t="shared" si="20"/>
        <v>8</v>
      </c>
      <c r="BE3">
        <f t="shared" si="21"/>
        <v>1</v>
      </c>
      <c r="BF3">
        <f t="shared" si="22"/>
        <v>999</v>
      </c>
      <c r="BG3">
        <f t="shared" si="23"/>
        <v>999</v>
      </c>
      <c r="BH3">
        <f t="shared" si="24"/>
        <v>999</v>
      </c>
      <c r="BI3">
        <f t="shared" si="25"/>
        <v>24</v>
      </c>
      <c r="BJ3">
        <f t="shared" si="26"/>
        <v>999</v>
      </c>
      <c r="BK3">
        <f t="shared" si="27"/>
        <v>4</v>
      </c>
      <c r="BL3">
        <f t="shared" si="28"/>
        <v>2</v>
      </c>
      <c r="BM3">
        <f>SUMPRODUCT((Values!$BK$4:$CN$4=1)*ISNUMBER(Values!$BK8:$CN8))</f>
        <v>7</v>
      </c>
      <c r="BN3">
        <f>MAX(COUNTIF(Values!$BK8:$CN8,1),COUNTIF(Values!$BK8:$CN8,2),COUNTIF(Values!$BK8:$CN8,3),COUNTIF(Values!$BK8:$CN8,4),COUNTIF(Values!$BK8:$CN8,5))/COUNT(Values!$BK8:$CN8)</f>
        <v>0.33333333333333331</v>
      </c>
      <c r="BO3">
        <f t="shared" si="29"/>
        <v>0</v>
      </c>
      <c r="BP3">
        <f>SUMPRODUCT((Values!$AG8:$BJ8=Values!$BK8:$CN8)*ISNUMBER(Values!$AG8:$BJ8)*ISNUMBER(Values!$BK8:$CN8))</f>
        <v>14</v>
      </c>
      <c r="BQ3">
        <f t="shared" si="30"/>
        <v>0</v>
      </c>
    </row>
    <row r="4" spans="1:69" x14ac:dyDescent="0.45">
      <c r="A4" t="str">
        <f>Values!$A$9</f>
        <v>Priya Raman</v>
      </c>
      <c r="B4">
        <f>SUMPRODUCT((Values!$G9:$W9=1)*(Values!$G$4:$W$4=0))</f>
        <v>0</v>
      </c>
      <c r="C4">
        <f>SUMPRODUCT((Values!$G9:$W9=2)*(Values!$G$4:$W$4=0))</f>
        <v>5</v>
      </c>
      <c r="D4">
        <f>SUMPRODUCT((Values!$G9:$W9=3)*(Values!$G$4:$W$4=0))</f>
        <v>5</v>
      </c>
      <c r="E4">
        <f>SUMPRODUCT((Values!$G9:$W9=4)*(Values!$G$4:$W$4=0))</f>
        <v>2</v>
      </c>
      <c r="F4">
        <f>SUMPRODUCT((Values!$G9:$W9=5)*(Values!$G$4:$W$4=0))</f>
        <v>0</v>
      </c>
      <c r="G4">
        <f>SUMPRODUCT((Values!$G9:$W9=1)*(Values!$G$4:$W$4=1))</f>
        <v>0</v>
      </c>
      <c r="H4">
        <f>SUMPRODUCT((Values!$G9:$W9=2)*(Values!$G$4:$W$4=1))</f>
        <v>2</v>
      </c>
      <c r="I4">
        <f>SUMPRODUCT((Values!$G9:$W9=3)*(Values!$G$4:$W$4=1))</f>
        <v>3</v>
      </c>
      <c r="J4">
        <f>SUMPRODUCT((Values!$G9:$W9=4)*(Values!$G$4:$W$4=1))</f>
        <v>0</v>
      </c>
      <c r="K4">
        <f>SUMPRODUCT((Values!$G9:$W9=5)*(Values!$G$4:$W$4=1))</f>
        <v>0</v>
      </c>
      <c r="L4">
        <f t="shared" si="0"/>
        <v>5</v>
      </c>
      <c r="M4">
        <f t="shared" si="1"/>
        <v>2</v>
      </c>
      <c r="N4">
        <f t="shared" si="2"/>
        <v>999</v>
      </c>
      <c r="O4">
        <f t="shared" si="3"/>
        <v>22</v>
      </c>
      <c r="P4">
        <f t="shared" si="4"/>
        <v>999</v>
      </c>
      <c r="Q4">
        <f t="shared" si="5"/>
        <v>999</v>
      </c>
      <c r="R4">
        <f t="shared" si="6"/>
        <v>999</v>
      </c>
      <c r="S4">
        <f t="shared" si="7"/>
        <v>2</v>
      </c>
      <c r="T4">
        <f t="shared" si="8"/>
        <v>2</v>
      </c>
      <c r="U4">
        <f>SUMPRODUCT((Values!$G$4:$W$4=1)*ISNUMBER(Values!$G9:$W9))</f>
        <v>5</v>
      </c>
      <c r="V4">
        <f>MAX(COUNTIF(Values!$G9:$W9,1),COUNTIF(Values!$G9:$W9,2),COUNTIF(Values!$G9:$W9,3),COUNTIF(Values!$G9:$W9,4),COUNTIF(Values!$G9:$W9,5))/COUNT(Values!$G9:$W9)</f>
        <v>0.47058823529411764</v>
      </c>
      <c r="W4">
        <f t="shared" si="9"/>
        <v>0</v>
      </c>
      <c r="X4">
        <f>SUMPRODUCT((Values!$AG9:$BJ9=1)*(Values!$AG$4:$BJ$4=0))</f>
        <v>2</v>
      </c>
      <c r="Y4">
        <f>SUMPRODUCT((Values!$AG9:$BJ9=2)*(Values!$AG$4:$BJ$4=0))</f>
        <v>5</v>
      </c>
      <c r="Z4">
        <f>SUMPRODUCT((Values!$AG9:$BJ9=3)*(Values!$AG$4:$BJ$4=0))</f>
        <v>6</v>
      </c>
      <c r="AA4">
        <f>SUMPRODUCT((Values!$AG9:$BJ9=4)*(Values!$AG$4:$BJ$4=0))</f>
        <v>5</v>
      </c>
      <c r="AB4">
        <f>SUMPRODUCT((Values!$AG9:$BJ9=5)*(Values!$AG$4:$BJ$4=0))</f>
        <v>5</v>
      </c>
      <c r="AC4">
        <f>SUMPRODUCT((Values!$AG9:$BJ9=1)*(Values!$AG$4:$BJ$4=1))</f>
        <v>4</v>
      </c>
      <c r="AD4">
        <f>SUMPRODUCT((Values!$AG9:$BJ9=2)*(Values!$AG$4:$BJ$4=1))</f>
        <v>0</v>
      </c>
      <c r="AE4">
        <f>SUMPRODUCT((Values!$AG9:$BJ9=3)*(Values!$AG$4:$BJ$4=1))</f>
        <v>1</v>
      </c>
      <c r="AF4">
        <f>SUMPRODUCT((Values!$AG9:$BJ9=4)*(Values!$AG$4:$BJ$4=1))</f>
        <v>2</v>
      </c>
      <c r="AG4">
        <f>SUMPRODUCT((Values!$AG9:$BJ9=5)*(Values!$AG$4:$BJ$4=1))</f>
        <v>0</v>
      </c>
      <c r="AH4">
        <f t="shared" si="10"/>
        <v>6</v>
      </c>
      <c r="AI4">
        <f t="shared" si="11"/>
        <v>1</v>
      </c>
      <c r="AJ4">
        <f t="shared" si="12"/>
        <v>999</v>
      </c>
      <c r="AK4">
        <f t="shared" si="13"/>
        <v>999</v>
      </c>
      <c r="AL4">
        <f t="shared" si="14"/>
        <v>13</v>
      </c>
      <c r="AM4">
        <f t="shared" si="15"/>
        <v>999</v>
      </c>
      <c r="AN4">
        <f t="shared" si="16"/>
        <v>999</v>
      </c>
      <c r="AO4">
        <f t="shared" si="17"/>
        <v>3</v>
      </c>
      <c r="AP4">
        <f t="shared" si="18"/>
        <v>1</v>
      </c>
      <c r="AQ4">
        <f>SUMPRODUCT((Values!$AG$4:$BJ$4=1)*ISNUMBER(Values!$AG9:$BJ9))</f>
        <v>7</v>
      </c>
      <c r="AR4">
        <f>MAX(COUNTIF(Values!$AG9:$BJ9,1),COUNTIF(Values!$AG9:$BJ9,2),COUNTIF(Values!$AG9:$BJ9,3),COUNTIF(Values!$AG9:$BJ9,4),COUNTIF(Values!$AG9:$BJ9,5))/COUNT(Values!$AG9:$BJ9)</f>
        <v>0.23333333333333334</v>
      </c>
      <c r="AS4">
        <f t="shared" si="19"/>
        <v>0</v>
      </c>
      <c r="AT4">
        <f>SUMPRODUCT((Values!$BK9:$CN9=1)*(Values!$BK$4:$CN$4=0))</f>
        <v>1</v>
      </c>
      <c r="AU4">
        <f>SUMPRODUCT((Values!$BK9:$CN9=2)*(Values!$BK$4:$CN$4=0))</f>
        <v>4</v>
      </c>
      <c r="AV4">
        <f>SUMPRODUCT((Values!$BK9:$CN9=3)*(Values!$BK$4:$CN$4=0))</f>
        <v>12</v>
      </c>
      <c r="AW4">
        <f>SUMPRODUCT((Values!$BK9:$CN9=4)*(Values!$BK$4:$CN$4=0))</f>
        <v>6</v>
      </c>
      <c r="AX4">
        <f>SUMPRODUCT((Values!$BK9:$CN9=5)*(Values!$BK$4:$CN$4=0))</f>
        <v>0</v>
      </c>
      <c r="AY4">
        <f>SUMPRODUCT((Values!$BK9:$CN9=1)*(Values!$BK$4:$CN$4=1))</f>
        <v>1</v>
      </c>
      <c r="AZ4">
        <f>SUMPRODUCT((Values!$BK9:$CN9=2)*(Values!$BK$4:$CN$4=1))</f>
        <v>3</v>
      </c>
      <c r="BA4">
        <f>SUMPRODUCT((Values!$BK9:$CN9=3)*(Values!$BK$4:$CN$4=1))</f>
        <v>2</v>
      </c>
      <c r="BB4">
        <f>SUMPRODUCT((Values!$BK9:$CN9=4)*(Values!$BK$4:$CN$4=1))</f>
        <v>1</v>
      </c>
      <c r="BC4">
        <f>SUMPRODUCT((Values!$BK9:$CN9=5)*(Values!$BK$4:$CN$4=1))</f>
        <v>0</v>
      </c>
      <c r="BD4">
        <f t="shared" si="20"/>
        <v>12</v>
      </c>
      <c r="BE4">
        <f t="shared" si="21"/>
        <v>1</v>
      </c>
      <c r="BF4">
        <f t="shared" si="22"/>
        <v>999</v>
      </c>
      <c r="BG4">
        <f t="shared" si="23"/>
        <v>999</v>
      </c>
      <c r="BH4">
        <f t="shared" si="24"/>
        <v>23</v>
      </c>
      <c r="BI4">
        <f t="shared" si="25"/>
        <v>999</v>
      </c>
      <c r="BJ4">
        <f t="shared" si="26"/>
        <v>999</v>
      </c>
      <c r="BK4">
        <f t="shared" si="27"/>
        <v>3</v>
      </c>
      <c r="BL4">
        <f t="shared" si="28"/>
        <v>2</v>
      </c>
      <c r="BM4">
        <f>SUMPRODUCT((Values!$BK$4:$CN$4=1)*ISNUMBER(Values!$BK9:$CN9))</f>
        <v>7</v>
      </c>
      <c r="BN4">
        <f>MAX(COUNTIF(Values!$BK9:$CN9,1),COUNTIF(Values!$BK9:$CN9,2),COUNTIF(Values!$BK9:$CN9,3),COUNTIF(Values!$BK9:$CN9,4),COUNTIF(Values!$BK9:$CN9,5))/COUNT(Values!$BK9:$CN9)</f>
        <v>0.46666666666666667</v>
      </c>
      <c r="BO4">
        <f t="shared" si="29"/>
        <v>0</v>
      </c>
      <c r="BP4">
        <f>SUMPRODUCT((Values!$AG9:$BJ9=Values!$BK9:$CN9)*ISNUMBER(Values!$AG9:$BJ9)*ISNUMBER(Values!$BK9:$CN9))</f>
        <v>8</v>
      </c>
      <c r="BQ4">
        <f t="shared" si="30"/>
        <v>0</v>
      </c>
    </row>
    <row r="5" spans="1:69" x14ac:dyDescent="0.45">
      <c r="A5" t="str">
        <f>Values!$A$10</f>
        <v>Daniel Cho</v>
      </c>
      <c r="B5">
        <f>SUMPRODUCT((Values!$G10:$W10=1)*(Values!$G$4:$W$4=0))</f>
        <v>0</v>
      </c>
      <c r="C5">
        <f>SUMPRODUCT((Values!$G10:$W10=2)*(Values!$G$4:$W$4=0))</f>
        <v>1</v>
      </c>
      <c r="D5">
        <f>SUMPRODUCT((Values!$G10:$W10=3)*(Values!$G$4:$W$4=0))</f>
        <v>8</v>
      </c>
      <c r="E5">
        <f>SUMPRODUCT((Values!$G10:$W10=4)*(Values!$G$4:$W$4=0))</f>
        <v>3</v>
      </c>
      <c r="F5">
        <f>SUMPRODUCT((Values!$G10:$W10=5)*(Values!$G$4:$W$4=0))</f>
        <v>0</v>
      </c>
      <c r="G5">
        <f>SUMPRODUCT((Values!$G10:$W10=1)*(Values!$G$4:$W$4=1))</f>
        <v>0</v>
      </c>
      <c r="H5">
        <f>SUMPRODUCT((Values!$G10:$W10=2)*(Values!$G$4:$W$4=1))</f>
        <v>2</v>
      </c>
      <c r="I5">
        <f>SUMPRODUCT((Values!$G10:$W10=3)*(Values!$G$4:$W$4=1))</f>
        <v>3</v>
      </c>
      <c r="J5">
        <f>SUMPRODUCT((Values!$G10:$W10=4)*(Values!$G$4:$W$4=1))</f>
        <v>0</v>
      </c>
      <c r="K5">
        <f>SUMPRODUCT((Values!$G10:$W10=5)*(Values!$G$4:$W$4=1))</f>
        <v>0</v>
      </c>
      <c r="L5">
        <f t="shared" si="0"/>
        <v>8</v>
      </c>
      <c r="M5">
        <f t="shared" si="1"/>
        <v>1</v>
      </c>
      <c r="N5">
        <f t="shared" si="2"/>
        <v>999</v>
      </c>
      <c r="O5">
        <f t="shared" si="3"/>
        <v>999</v>
      </c>
      <c r="P5">
        <f t="shared" si="4"/>
        <v>33</v>
      </c>
      <c r="Q5">
        <f t="shared" si="5"/>
        <v>999</v>
      </c>
      <c r="R5">
        <f t="shared" si="6"/>
        <v>999</v>
      </c>
      <c r="S5">
        <f t="shared" si="7"/>
        <v>3</v>
      </c>
      <c r="T5">
        <f t="shared" si="8"/>
        <v>3</v>
      </c>
      <c r="U5">
        <f>SUMPRODUCT((Values!$G$4:$W$4=1)*ISNUMBER(Values!$G10:$W10))</f>
        <v>5</v>
      </c>
      <c r="V5">
        <f>MAX(COUNTIF(Values!$G10:$W10,1),COUNTIF(Values!$G10:$W10,2),COUNTIF(Values!$G10:$W10,3),COUNTIF(Values!$G10:$W10,4),COUNTIF(Values!$G10:$W10,5))/COUNT(Values!$G10:$W10)</f>
        <v>0.6470588235294118</v>
      </c>
      <c r="W5">
        <f t="shared" si="9"/>
        <v>0</v>
      </c>
      <c r="X5">
        <f>SUMPRODUCT((Values!$AG10:$BJ10=1)*(Values!$AG$4:$BJ$4=0))</f>
        <v>0</v>
      </c>
      <c r="Y5">
        <f>SUMPRODUCT((Values!$AG10:$BJ10=2)*(Values!$AG$4:$BJ$4=0))</f>
        <v>5</v>
      </c>
      <c r="Z5">
        <f>SUMPRODUCT((Values!$AG10:$BJ10=3)*(Values!$AG$4:$BJ$4=0))</f>
        <v>11</v>
      </c>
      <c r="AA5">
        <f>SUMPRODUCT((Values!$AG10:$BJ10=4)*(Values!$AG$4:$BJ$4=0))</f>
        <v>7</v>
      </c>
      <c r="AB5">
        <f>SUMPRODUCT((Values!$AG10:$BJ10=5)*(Values!$AG$4:$BJ$4=0))</f>
        <v>0</v>
      </c>
      <c r="AC5">
        <f>SUMPRODUCT((Values!$AG10:$BJ10=1)*(Values!$AG$4:$BJ$4=1))</f>
        <v>0</v>
      </c>
      <c r="AD5">
        <f>SUMPRODUCT((Values!$AG10:$BJ10=2)*(Values!$AG$4:$BJ$4=1))</f>
        <v>4</v>
      </c>
      <c r="AE5">
        <f>SUMPRODUCT((Values!$AG10:$BJ10=3)*(Values!$AG$4:$BJ$4=1))</f>
        <v>2</v>
      </c>
      <c r="AF5">
        <f>SUMPRODUCT((Values!$AG10:$BJ10=4)*(Values!$AG$4:$BJ$4=1))</f>
        <v>1</v>
      </c>
      <c r="AG5">
        <f>SUMPRODUCT((Values!$AG10:$BJ10=5)*(Values!$AG$4:$BJ$4=1))</f>
        <v>0</v>
      </c>
      <c r="AH5">
        <f t="shared" si="10"/>
        <v>11</v>
      </c>
      <c r="AI5">
        <f t="shared" si="11"/>
        <v>1</v>
      </c>
      <c r="AJ5">
        <f t="shared" si="12"/>
        <v>999</v>
      </c>
      <c r="AK5">
        <f t="shared" si="13"/>
        <v>999</v>
      </c>
      <c r="AL5">
        <f t="shared" si="14"/>
        <v>23</v>
      </c>
      <c r="AM5">
        <f t="shared" si="15"/>
        <v>999</v>
      </c>
      <c r="AN5">
        <f t="shared" si="16"/>
        <v>999</v>
      </c>
      <c r="AO5">
        <f t="shared" si="17"/>
        <v>3</v>
      </c>
      <c r="AP5">
        <f t="shared" si="18"/>
        <v>2</v>
      </c>
      <c r="AQ5">
        <f>SUMPRODUCT((Values!$AG$4:$BJ$4=1)*ISNUMBER(Values!$AG10:$BJ10))</f>
        <v>7</v>
      </c>
      <c r="AR5">
        <f>MAX(COUNTIF(Values!$AG10:$BJ10,1),COUNTIF(Values!$AG10:$BJ10,2),COUNTIF(Values!$AG10:$BJ10,3),COUNTIF(Values!$AG10:$BJ10,4),COUNTIF(Values!$AG10:$BJ10,5))/COUNT(Values!$AG10:$BJ10)</f>
        <v>0.43333333333333335</v>
      </c>
      <c r="AS5">
        <f t="shared" si="19"/>
        <v>0</v>
      </c>
      <c r="AT5">
        <f>SUMPRODUCT((Values!$BK10:$CN10=1)*(Values!$BK$4:$CN$4=0))</f>
        <v>0</v>
      </c>
      <c r="AU5">
        <f>SUMPRODUCT((Values!$BK10:$CN10=2)*(Values!$BK$4:$CN$4=0))</f>
        <v>2</v>
      </c>
      <c r="AV5">
        <f>SUMPRODUCT((Values!$BK10:$CN10=3)*(Values!$BK$4:$CN$4=0))</f>
        <v>12</v>
      </c>
      <c r="AW5">
        <f>SUMPRODUCT((Values!$BK10:$CN10=4)*(Values!$BK$4:$CN$4=0))</f>
        <v>8</v>
      </c>
      <c r="AX5">
        <f>SUMPRODUCT((Values!$BK10:$CN10=5)*(Values!$BK$4:$CN$4=0))</f>
        <v>1</v>
      </c>
      <c r="AY5">
        <f>SUMPRODUCT((Values!$BK10:$CN10=1)*(Values!$BK$4:$CN$4=1))</f>
        <v>2</v>
      </c>
      <c r="AZ5">
        <f>SUMPRODUCT((Values!$BK10:$CN10=2)*(Values!$BK$4:$CN$4=1))</f>
        <v>1</v>
      </c>
      <c r="BA5">
        <f>SUMPRODUCT((Values!$BK10:$CN10=3)*(Values!$BK$4:$CN$4=1))</f>
        <v>4</v>
      </c>
      <c r="BB5">
        <f>SUMPRODUCT((Values!$BK10:$CN10=4)*(Values!$BK$4:$CN$4=1))</f>
        <v>0</v>
      </c>
      <c r="BC5">
        <f>SUMPRODUCT((Values!$BK10:$CN10=5)*(Values!$BK$4:$CN$4=1))</f>
        <v>0</v>
      </c>
      <c r="BD5">
        <f t="shared" si="20"/>
        <v>12</v>
      </c>
      <c r="BE5">
        <f t="shared" si="21"/>
        <v>1</v>
      </c>
      <c r="BF5">
        <f t="shared" si="22"/>
        <v>999</v>
      </c>
      <c r="BG5">
        <f t="shared" si="23"/>
        <v>999</v>
      </c>
      <c r="BH5">
        <f t="shared" si="24"/>
        <v>43</v>
      </c>
      <c r="BI5">
        <f t="shared" si="25"/>
        <v>999</v>
      </c>
      <c r="BJ5">
        <f t="shared" si="26"/>
        <v>999</v>
      </c>
      <c r="BK5">
        <f t="shared" si="27"/>
        <v>3</v>
      </c>
      <c r="BL5">
        <f t="shared" si="28"/>
        <v>4</v>
      </c>
      <c r="BM5">
        <f>SUMPRODUCT((Values!$BK$4:$CN$4=1)*ISNUMBER(Values!$BK10:$CN10))</f>
        <v>7</v>
      </c>
      <c r="BN5">
        <f>MAX(COUNTIF(Values!$BK10:$CN10,1),COUNTIF(Values!$BK10:$CN10,2),COUNTIF(Values!$BK10:$CN10,3),COUNTIF(Values!$BK10:$CN10,4),COUNTIF(Values!$BK10:$CN10,5))/COUNT(Values!$BK10:$CN10)</f>
        <v>0.53333333333333333</v>
      </c>
      <c r="BO5">
        <f t="shared" si="29"/>
        <v>0</v>
      </c>
      <c r="BP5">
        <f>SUMPRODUCT((Values!$AG10:$BJ10=Values!$BK10:$CN10)*ISNUMBER(Values!$AG10:$BJ10)*ISNUMBER(Values!$BK10:$CN10))</f>
        <v>12</v>
      </c>
      <c r="BQ5">
        <f t="shared" si="30"/>
        <v>0</v>
      </c>
    </row>
    <row r="6" spans="1:69" x14ac:dyDescent="0.45">
      <c r="A6" t="str">
        <f>Values!$A$11</f>
        <v>Sofia Marchetti</v>
      </c>
      <c r="B6">
        <f>SUMPRODUCT((Values!$G11:$W11=1)*(Values!$G$4:$W$4=0))</f>
        <v>0</v>
      </c>
      <c r="C6">
        <f>SUMPRODUCT((Values!$G11:$W11=2)*(Values!$G$4:$W$4=0))</f>
        <v>2</v>
      </c>
      <c r="D6">
        <f>SUMPRODUCT((Values!$G11:$W11=3)*(Values!$G$4:$W$4=0))</f>
        <v>6</v>
      </c>
      <c r="E6">
        <f>SUMPRODUCT((Values!$G11:$W11=4)*(Values!$G$4:$W$4=0))</f>
        <v>4</v>
      </c>
      <c r="F6">
        <f>SUMPRODUCT((Values!$G11:$W11=5)*(Values!$G$4:$W$4=0))</f>
        <v>0</v>
      </c>
      <c r="G6">
        <f>SUMPRODUCT((Values!$G11:$W11=1)*(Values!$G$4:$W$4=1))</f>
        <v>0</v>
      </c>
      <c r="H6">
        <f>SUMPRODUCT((Values!$G11:$W11=2)*(Values!$G$4:$W$4=1))</f>
        <v>1</v>
      </c>
      <c r="I6">
        <f>SUMPRODUCT((Values!$G11:$W11=3)*(Values!$G$4:$W$4=1))</f>
        <v>2</v>
      </c>
      <c r="J6">
        <f>SUMPRODUCT((Values!$G11:$W11=4)*(Values!$G$4:$W$4=1))</f>
        <v>2</v>
      </c>
      <c r="K6">
        <f>SUMPRODUCT((Values!$G11:$W11=5)*(Values!$G$4:$W$4=1))</f>
        <v>0</v>
      </c>
      <c r="L6">
        <f t="shared" si="0"/>
        <v>6</v>
      </c>
      <c r="M6">
        <f t="shared" si="1"/>
        <v>1</v>
      </c>
      <c r="N6">
        <f t="shared" si="2"/>
        <v>999</v>
      </c>
      <c r="O6">
        <f t="shared" si="3"/>
        <v>999</v>
      </c>
      <c r="P6">
        <f t="shared" si="4"/>
        <v>23</v>
      </c>
      <c r="Q6">
        <f t="shared" si="5"/>
        <v>999</v>
      </c>
      <c r="R6">
        <f t="shared" si="6"/>
        <v>999</v>
      </c>
      <c r="S6">
        <f t="shared" si="7"/>
        <v>3</v>
      </c>
      <c r="T6">
        <f t="shared" si="8"/>
        <v>2</v>
      </c>
      <c r="U6">
        <f>SUMPRODUCT((Values!$G$4:$W$4=1)*ISNUMBER(Values!$G11:$W11))</f>
        <v>5</v>
      </c>
      <c r="V6">
        <f>MAX(COUNTIF(Values!$G11:$W11,1),COUNTIF(Values!$G11:$W11,2),COUNTIF(Values!$G11:$W11,3),COUNTIF(Values!$G11:$W11,4),COUNTIF(Values!$G11:$W11,5))/COUNT(Values!$G11:$W11)</f>
        <v>0.47058823529411764</v>
      </c>
      <c r="W6">
        <f t="shared" si="9"/>
        <v>0</v>
      </c>
      <c r="X6">
        <f>SUMPRODUCT((Values!$AG11:$BJ11=1)*(Values!$AG$4:$BJ$4=0))</f>
        <v>0</v>
      </c>
      <c r="Y6">
        <f>SUMPRODUCT((Values!$AG11:$BJ11=2)*(Values!$AG$4:$BJ$4=0))</f>
        <v>3</v>
      </c>
      <c r="Z6">
        <f>SUMPRODUCT((Values!$AG11:$BJ11=3)*(Values!$AG$4:$BJ$4=0))</f>
        <v>12</v>
      </c>
      <c r="AA6">
        <f>SUMPRODUCT((Values!$AG11:$BJ11=4)*(Values!$AG$4:$BJ$4=0))</f>
        <v>8</v>
      </c>
      <c r="AB6">
        <f>SUMPRODUCT((Values!$AG11:$BJ11=5)*(Values!$AG$4:$BJ$4=0))</f>
        <v>0</v>
      </c>
      <c r="AC6">
        <f>SUMPRODUCT((Values!$AG11:$BJ11=1)*(Values!$AG$4:$BJ$4=1))</f>
        <v>1</v>
      </c>
      <c r="AD6">
        <f>SUMPRODUCT((Values!$AG11:$BJ11=2)*(Values!$AG$4:$BJ$4=1))</f>
        <v>3</v>
      </c>
      <c r="AE6">
        <f>SUMPRODUCT((Values!$AG11:$BJ11=3)*(Values!$AG$4:$BJ$4=1))</f>
        <v>3</v>
      </c>
      <c r="AF6">
        <f>SUMPRODUCT((Values!$AG11:$BJ11=4)*(Values!$AG$4:$BJ$4=1))</f>
        <v>0</v>
      </c>
      <c r="AG6">
        <f>SUMPRODUCT((Values!$AG11:$BJ11=5)*(Values!$AG$4:$BJ$4=1))</f>
        <v>0</v>
      </c>
      <c r="AH6">
        <f t="shared" si="10"/>
        <v>12</v>
      </c>
      <c r="AI6">
        <f t="shared" si="11"/>
        <v>1</v>
      </c>
      <c r="AJ6">
        <f t="shared" si="12"/>
        <v>999</v>
      </c>
      <c r="AK6">
        <f t="shared" si="13"/>
        <v>999</v>
      </c>
      <c r="AL6">
        <f t="shared" si="14"/>
        <v>33</v>
      </c>
      <c r="AM6">
        <f t="shared" si="15"/>
        <v>999</v>
      </c>
      <c r="AN6">
        <f t="shared" si="16"/>
        <v>999</v>
      </c>
      <c r="AO6">
        <f t="shared" si="17"/>
        <v>3</v>
      </c>
      <c r="AP6">
        <f t="shared" si="18"/>
        <v>3</v>
      </c>
      <c r="AQ6">
        <f>SUMPRODUCT((Values!$AG$4:$BJ$4=1)*ISNUMBER(Values!$AG11:$BJ11))</f>
        <v>7</v>
      </c>
      <c r="AR6">
        <f>MAX(COUNTIF(Values!$AG11:$BJ11,1),COUNTIF(Values!$AG11:$BJ11,2),COUNTIF(Values!$AG11:$BJ11,3),COUNTIF(Values!$AG11:$BJ11,4),COUNTIF(Values!$AG11:$BJ11,5))/COUNT(Values!$AG11:$BJ11)</f>
        <v>0.5</v>
      </c>
      <c r="AS6">
        <f t="shared" si="19"/>
        <v>0</v>
      </c>
      <c r="AT6">
        <f>SUMPRODUCT((Values!$BK11:$CN11=1)*(Values!$BK$4:$CN$4=0))</f>
        <v>1</v>
      </c>
      <c r="AU6">
        <f>SUMPRODUCT((Values!$BK11:$CN11=2)*(Values!$BK$4:$CN$4=0))</f>
        <v>1</v>
      </c>
      <c r="AV6">
        <f>SUMPRODUCT((Values!$BK11:$CN11=3)*(Values!$BK$4:$CN$4=0))</f>
        <v>11</v>
      </c>
      <c r="AW6">
        <f>SUMPRODUCT((Values!$BK11:$CN11=4)*(Values!$BK$4:$CN$4=0))</f>
        <v>10</v>
      </c>
      <c r="AX6">
        <f>SUMPRODUCT((Values!$BK11:$CN11=5)*(Values!$BK$4:$CN$4=0))</f>
        <v>0</v>
      </c>
      <c r="AY6">
        <f>SUMPRODUCT((Values!$BK11:$CN11=1)*(Values!$BK$4:$CN$4=1))</f>
        <v>1</v>
      </c>
      <c r="AZ6">
        <f>SUMPRODUCT((Values!$BK11:$CN11=2)*(Values!$BK$4:$CN$4=1))</f>
        <v>4</v>
      </c>
      <c r="BA6">
        <f>SUMPRODUCT((Values!$BK11:$CN11=3)*(Values!$BK$4:$CN$4=1))</f>
        <v>2</v>
      </c>
      <c r="BB6">
        <f>SUMPRODUCT((Values!$BK11:$CN11=4)*(Values!$BK$4:$CN$4=1))</f>
        <v>0</v>
      </c>
      <c r="BC6">
        <f>SUMPRODUCT((Values!$BK11:$CN11=5)*(Values!$BK$4:$CN$4=1))</f>
        <v>0</v>
      </c>
      <c r="BD6">
        <f t="shared" si="20"/>
        <v>11</v>
      </c>
      <c r="BE6">
        <f t="shared" si="21"/>
        <v>1</v>
      </c>
      <c r="BF6">
        <f t="shared" si="22"/>
        <v>999</v>
      </c>
      <c r="BG6">
        <f t="shared" si="23"/>
        <v>999</v>
      </c>
      <c r="BH6">
        <f t="shared" si="24"/>
        <v>23</v>
      </c>
      <c r="BI6">
        <f t="shared" si="25"/>
        <v>999</v>
      </c>
      <c r="BJ6">
        <f t="shared" si="26"/>
        <v>999</v>
      </c>
      <c r="BK6">
        <f t="shared" si="27"/>
        <v>3</v>
      </c>
      <c r="BL6">
        <f t="shared" si="28"/>
        <v>2</v>
      </c>
      <c r="BM6">
        <f>SUMPRODUCT((Values!$BK$4:$CN$4=1)*ISNUMBER(Values!$BK11:$CN11))</f>
        <v>7</v>
      </c>
      <c r="BN6">
        <f>MAX(COUNTIF(Values!$BK11:$CN11,1),COUNTIF(Values!$BK11:$CN11,2),COUNTIF(Values!$BK11:$CN11,3),COUNTIF(Values!$BK11:$CN11,4),COUNTIF(Values!$BK11:$CN11,5))/COUNT(Values!$BK11:$CN11)</f>
        <v>0.43333333333333335</v>
      </c>
      <c r="BO6">
        <f t="shared" si="29"/>
        <v>0</v>
      </c>
      <c r="BP6">
        <f>SUMPRODUCT((Values!$AG11:$BJ11=Values!$BK11:$CN11)*ISNUMBER(Values!$AG11:$BJ11)*ISNUMBER(Values!$BK11:$CN11))</f>
        <v>21</v>
      </c>
      <c r="BQ6">
        <f t="shared" si="30"/>
        <v>0</v>
      </c>
    </row>
    <row r="7" spans="1:69" x14ac:dyDescent="0.45">
      <c r="A7" t="str">
        <f>Values!$A$12</f>
        <v>Liam O'Connor</v>
      </c>
      <c r="B7">
        <f>SUMPRODUCT((Values!$G12:$W12=1)*(Values!$G$4:$W$4=0))</f>
        <v>0</v>
      </c>
      <c r="C7">
        <f>SUMPRODUCT((Values!$G12:$W12=2)*(Values!$G$4:$W$4=0))</f>
        <v>2</v>
      </c>
      <c r="D7">
        <f>SUMPRODUCT((Values!$G12:$W12=3)*(Values!$G$4:$W$4=0))</f>
        <v>5</v>
      </c>
      <c r="E7">
        <f>SUMPRODUCT((Values!$G12:$W12=4)*(Values!$G$4:$W$4=0))</f>
        <v>4</v>
      </c>
      <c r="F7">
        <f>SUMPRODUCT((Values!$G12:$W12=5)*(Values!$G$4:$W$4=0))</f>
        <v>1</v>
      </c>
      <c r="G7">
        <f>SUMPRODUCT((Values!$G12:$W12=1)*(Values!$G$4:$W$4=1))</f>
        <v>0</v>
      </c>
      <c r="H7">
        <f>SUMPRODUCT((Values!$G12:$W12=2)*(Values!$G$4:$W$4=1))</f>
        <v>4</v>
      </c>
      <c r="I7">
        <f>SUMPRODUCT((Values!$G12:$W12=3)*(Values!$G$4:$W$4=1))</f>
        <v>1</v>
      </c>
      <c r="J7">
        <f>SUMPRODUCT((Values!$G12:$W12=4)*(Values!$G$4:$W$4=1))</f>
        <v>0</v>
      </c>
      <c r="K7">
        <f>SUMPRODUCT((Values!$G12:$W12=5)*(Values!$G$4:$W$4=1))</f>
        <v>0</v>
      </c>
      <c r="L7">
        <f t="shared" si="0"/>
        <v>5</v>
      </c>
      <c r="M7">
        <f t="shared" si="1"/>
        <v>1</v>
      </c>
      <c r="N7">
        <f t="shared" si="2"/>
        <v>999</v>
      </c>
      <c r="O7">
        <f t="shared" si="3"/>
        <v>999</v>
      </c>
      <c r="P7">
        <f t="shared" si="4"/>
        <v>13</v>
      </c>
      <c r="Q7">
        <f t="shared" si="5"/>
        <v>999</v>
      </c>
      <c r="R7">
        <f t="shared" si="6"/>
        <v>999</v>
      </c>
      <c r="S7">
        <f t="shared" si="7"/>
        <v>3</v>
      </c>
      <c r="T7">
        <f t="shared" si="8"/>
        <v>1</v>
      </c>
      <c r="U7">
        <f>SUMPRODUCT((Values!$G$4:$W$4=1)*ISNUMBER(Values!$G12:$W12))</f>
        <v>5</v>
      </c>
      <c r="V7">
        <f>MAX(COUNTIF(Values!$G12:$W12,1),COUNTIF(Values!$G12:$W12,2),COUNTIF(Values!$G12:$W12,3),COUNTIF(Values!$G12:$W12,4),COUNTIF(Values!$G12:$W12,5))/COUNT(Values!$G12:$W12)</f>
        <v>0.35294117647058826</v>
      </c>
      <c r="W7">
        <f t="shared" si="9"/>
        <v>0</v>
      </c>
      <c r="X7">
        <f>SUMPRODUCT((Values!$AG12:$BJ12=1)*(Values!$AG$4:$BJ$4=0))</f>
        <v>0</v>
      </c>
      <c r="Y7">
        <f>SUMPRODUCT((Values!$AG12:$BJ12=2)*(Values!$AG$4:$BJ$4=0))</f>
        <v>3</v>
      </c>
      <c r="Z7">
        <f>SUMPRODUCT((Values!$AG12:$BJ12=3)*(Values!$AG$4:$BJ$4=0))</f>
        <v>10</v>
      </c>
      <c r="AA7">
        <f>SUMPRODUCT((Values!$AG12:$BJ12=4)*(Values!$AG$4:$BJ$4=0))</f>
        <v>9</v>
      </c>
      <c r="AB7">
        <f>SUMPRODUCT((Values!$AG12:$BJ12=5)*(Values!$AG$4:$BJ$4=0))</f>
        <v>1</v>
      </c>
      <c r="AC7">
        <f>SUMPRODUCT((Values!$AG12:$BJ12=1)*(Values!$AG$4:$BJ$4=1))</f>
        <v>0</v>
      </c>
      <c r="AD7">
        <f>SUMPRODUCT((Values!$AG12:$BJ12=2)*(Values!$AG$4:$BJ$4=1))</f>
        <v>4</v>
      </c>
      <c r="AE7">
        <f>SUMPRODUCT((Values!$AG12:$BJ12=3)*(Values!$AG$4:$BJ$4=1))</f>
        <v>3</v>
      </c>
      <c r="AF7">
        <f>SUMPRODUCT((Values!$AG12:$BJ12=4)*(Values!$AG$4:$BJ$4=1))</f>
        <v>0</v>
      </c>
      <c r="AG7">
        <f>SUMPRODUCT((Values!$AG12:$BJ12=5)*(Values!$AG$4:$BJ$4=1))</f>
        <v>0</v>
      </c>
      <c r="AH7">
        <f t="shared" si="10"/>
        <v>10</v>
      </c>
      <c r="AI7">
        <f t="shared" si="11"/>
        <v>1</v>
      </c>
      <c r="AJ7">
        <f t="shared" si="12"/>
        <v>999</v>
      </c>
      <c r="AK7">
        <f t="shared" si="13"/>
        <v>999</v>
      </c>
      <c r="AL7">
        <f t="shared" si="14"/>
        <v>33</v>
      </c>
      <c r="AM7">
        <f t="shared" si="15"/>
        <v>999</v>
      </c>
      <c r="AN7">
        <f t="shared" si="16"/>
        <v>999</v>
      </c>
      <c r="AO7">
        <f t="shared" si="17"/>
        <v>3</v>
      </c>
      <c r="AP7">
        <f t="shared" si="18"/>
        <v>3</v>
      </c>
      <c r="AQ7">
        <f>SUMPRODUCT((Values!$AG$4:$BJ$4=1)*ISNUMBER(Values!$AG12:$BJ12))</f>
        <v>7</v>
      </c>
      <c r="AR7">
        <f>MAX(COUNTIF(Values!$AG12:$BJ12,1),COUNTIF(Values!$AG12:$BJ12,2),COUNTIF(Values!$AG12:$BJ12,3),COUNTIF(Values!$AG12:$BJ12,4),COUNTIF(Values!$AG12:$BJ12,5))/COUNT(Values!$AG12:$BJ12)</f>
        <v>0.43333333333333335</v>
      </c>
      <c r="AS7">
        <f t="shared" si="19"/>
        <v>0</v>
      </c>
      <c r="AT7">
        <f>SUMPRODUCT((Values!$BK12:$CN12=1)*(Values!$BK$4:$CN$4=0))</f>
        <v>0</v>
      </c>
      <c r="AU7">
        <f>SUMPRODUCT((Values!$BK12:$CN12=2)*(Values!$BK$4:$CN$4=0))</f>
        <v>4</v>
      </c>
      <c r="AV7">
        <f>SUMPRODUCT((Values!$BK12:$CN12=3)*(Values!$BK$4:$CN$4=0))</f>
        <v>4</v>
      </c>
      <c r="AW7">
        <f>SUMPRODUCT((Values!$BK12:$CN12=4)*(Values!$BK$4:$CN$4=0))</f>
        <v>15</v>
      </c>
      <c r="AX7">
        <f>SUMPRODUCT((Values!$BK12:$CN12=5)*(Values!$BK$4:$CN$4=0))</f>
        <v>0</v>
      </c>
      <c r="AY7">
        <f>SUMPRODUCT((Values!$BK12:$CN12=1)*(Values!$BK$4:$CN$4=1))</f>
        <v>1</v>
      </c>
      <c r="AZ7">
        <f>SUMPRODUCT((Values!$BK12:$CN12=2)*(Values!$BK$4:$CN$4=1))</f>
        <v>4</v>
      </c>
      <c r="BA7">
        <f>SUMPRODUCT((Values!$BK12:$CN12=3)*(Values!$BK$4:$CN$4=1))</f>
        <v>1</v>
      </c>
      <c r="BB7">
        <f>SUMPRODUCT((Values!$BK12:$CN12=4)*(Values!$BK$4:$CN$4=1))</f>
        <v>1</v>
      </c>
      <c r="BC7">
        <f>SUMPRODUCT((Values!$BK12:$CN12=5)*(Values!$BK$4:$CN$4=1))</f>
        <v>0</v>
      </c>
      <c r="BD7">
        <f t="shared" si="20"/>
        <v>15</v>
      </c>
      <c r="BE7">
        <f t="shared" si="21"/>
        <v>1</v>
      </c>
      <c r="BF7">
        <f t="shared" si="22"/>
        <v>999</v>
      </c>
      <c r="BG7">
        <f t="shared" si="23"/>
        <v>999</v>
      </c>
      <c r="BH7">
        <f t="shared" si="24"/>
        <v>999</v>
      </c>
      <c r="BI7">
        <f t="shared" si="25"/>
        <v>14</v>
      </c>
      <c r="BJ7">
        <f t="shared" si="26"/>
        <v>999</v>
      </c>
      <c r="BK7">
        <f t="shared" si="27"/>
        <v>4</v>
      </c>
      <c r="BL7">
        <f t="shared" si="28"/>
        <v>1</v>
      </c>
      <c r="BM7">
        <f>SUMPRODUCT((Values!$BK$4:$CN$4=1)*ISNUMBER(Values!$BK12:$CN12))</f>
        <v>7</v>
      </c>
      <c r="BN7">
        <f>MAX(COUNTIF(Values!$BK12:$CN12,1),COUNTIF(Values!$BK12:$CN12,2),COUNTIF(Values!$BK12:$CN12,3),COUNTIF(Values!$BK12:$CN12,4),COUNTIF(Values!$BK12:$CN12,5))/COUNT(Values!$BK12:$CN12)</f>
        <v>0.53333333333333333</v>
      </c>
      <c r="BO7">
        <f t="shared" si="29"/>
        <v>0</v>
      </c>
      <c r="BP7">
        <f>SUMPRODUCT((Values!$AG12:$BJ12=Values!$BK12:$CN12)*ISNUMBER(Values!$AG12:$BJ12)*ISNUMBER(Values!$BK12:$CN12))</f>
        <v>18</v>
      </c>
      <c r="BQ7">
        <f t="shared" si="30"/>
        <v>0</v>
      </c>
    </row>
    <row r="8" spans="1:69" x14ac:dyDescent="0.45">
      <c r="A8" t="str">
        <f>Values!$A$13</f>
        <v>Aisha Bello</v>
      </c>
      <c r="B8">
        <f>SUMPRODUCT((Values!$G13:$W13=1)*(Values!$G$4:$W$4=0))</f>
        <v>0</v>
      </c>
      <c r="C8">
        <f>SUMPRODUCT((Values!$G13:$W13=2)*(Values!$G$4:$W$4=0))</f>
        <v>1</v>
      </c>
      <c r="D8">
        <f>SUMPRODUCT((Values!$G13:$W13=3)*(Values!$G$4:$W$4=0))</f>
        <v>9</v>
      </c>
      <c r="E8">
        <f>SUMPRODUCT((Values!$G13:$W13=4)*(Values!$G$4:$W$4=0))</f>
        <v>1</v>
      </c>
      <c r="F8">
        <f>SUMPRODUCT((Values!$G13:$W13=5)*(Values!$G$4:$W$4=0))</f>
        <v>0</v>
      </c>
      <c r="G8">
        <f>SUMPRODUCT((Values!$G13:$W13=1)*(Values!$G$4:$W$4=1))</f>
        <v>0</v>
      </c>
      <c r="H8">
        <f>SUMPRODUCT((Values!$G13:$W13=2)*(Values!$G$4:$W$4=1))</f>
        <v>1</v>
      </c>
      <c r="I8">
        <f>SUMPRODUCT((Values!$G13:$W13=3)*(Values!$G$4:$W$4=1))</f>
        <v>1</v>
      </c>
      <c r="J8">
        <f>SUMPRODUCT((Values!$G13:$W13=4)*(Values!$G$4:$W$4=1))</f>
        <v>3</v>
      </c>
      <c r="K8">
        <f>SUMPRODUCT((Values!$G13:$W13=5)*(Values!$G$4:$W$4=1))</f>
        <v>0</v>
      </c>
      <c r="L8">
        <f t="shared" si="0"/>
        <v>9</v>
      </c>
      <c r="M8">
        <f t="shared" si="1"/>
        <v>1</v>
      </c>
      <c r="N8">
        <f t="shared" si="2"/>
        <v>999</v>
      </c>
      <c r="O8">
        <f t="shared" si="3"/>
        <v>999</v>
      </c>
      <c r="P8">
        <f t="shared" si="4"/>
        <v>13</v>
      </c>
      <c r="Q8">
        <f t="shared" si="5"/>
        <v>999</v>
      </c>
      <c r="R8">
        <f t="shared" si="6"/>
        <v>999</v>
      </c>
      <c r="S8">
        <f t="shared" si="7"/>
        <v>3</v>
      </c>
      <c r="T8">
        <f t="shared" si="8"/>
        <v>1</v>
      </c>
      <c r="U8">
        <f>SUMPRODUCT((Values!$G$4:$W$4=1)*ISNUMBER(Values!$G13:$W13))</f>
        <v>5</v>
      </c>
      <c r="V8">
        <f>MAX(COUNTIF(Values!$G13:$W13,1),COUNTIF(Values!$G13:$W13,2),COUNTIF(Values!$G13:$W13,3),COUNTIF(Values!$G13:$W13,4),COUNTIF(Values!$G13:$W13,5))/COUNT(Values!$G13:$W13)</f>
        <v>0.625</v>
      </c>
      <c r="W8">
        <f t="shared" si="9"/>
        <v>0</v>
      </c>
      <c r="X8">
        <f>SUMPRODUCT((Values!$AG13:$BJ13=1)*(Values!$AG$4:$BJ$4=0))</f>
        <v>0</v>
      </c>
      <c r="Y8">
        <f>SUMPRODUCT((Values!$AG13:$BJ13=2)*(Values!$AG$4:$BJ$4=0))</f>
        <v>4</v>
      </c>
      <c r="Z8">
        <f>SUMPRODUCT((Values!$AG13:$BJ13=3)*(Values!$AG$4:$BJ$4=0))</f>
        <v>13</v>
      </c>
      <c r="AA8">
        <f>SUMPRODUCT((Values!$AG13:$BJ13=4)*(Values!$AG$4:$BJ$4=0))</f>
        <v>5</v>
      </c>
      <c r="AB8">
        <f>SUMPRODUCT((Values!$AG13:$BJ13=5)*(Values!$AG$4:$BJ$4=0))</f>
        <v>1</v>
      </c>
      <c r="AC8">
        <f>SUMPRODUCT((Values!$AG13:$BJ13=1)*(Values!$AG$4:$BJ$4=1))</f>
        <v>1</v>
      </c>
      <c r="AD8">
        <f>SUMPRODUCT((Values!$AG13:$BJ13=2)*(Values!$AG$4:$BJ$4=1))</f>
        <v>3</v>
      </c>
      <c r="AE8">
        <f>SUMPRODUCT((Values!$AG13:$BJ13=3)*(Values!$AG$4:$BJ$4=1))</f>
        <v>3</v>
      </c>
      <c r="AF8">
        <f>SUMPRODUCT((Values!$AG13:$BJ13=4)*(Values!$AG$4:$BJ$4=1))</f>
        <v>0</v>
      </c>
      <c r="AG8">
        <f>SUMPRODUCT((Values!$AG13:$BJ13=5)*(Values!$AG$4:$BJ$4=1))</f>
        <v>0</v>
      </c>
      <c r="AH8">
        <f t="shared" si="10"/>
        <v>13</v>
      </c>
      <c r="AI8">
        <f t="shared" si="11"/>
        <v>1</v>
      </c>
      <c r="AJ8">
        <f t="shared" si="12"/>
        <v>999</v>
      </c>
      <c r="AK8">
        <f t="shared" si="13"/>
        <v>999</v>
      </c>
      <c r="AL8">
        <f t="shared" si="14"/>
        <v>33</v>
      </c>
      <c r="AM8">
        <f t="shared" si="15"/>
        <v>999</v>
      </c>
      <c r="AN8">
        <f t="shared" si="16"/>
        <v>999</v>
      </c>
      <c r="AO8">
        <f t="shared" si="17"/>
        <v>3</v>
      </c>
      <c r="AP8">
        <f t="shared" si="18"/>
        <v>3</v>
      </c>
      <c r="AQ8">
        <f>SUMPRODUCT((Values!$AG$4:$BJ$4=1)*ISNUMBER(Values!$AG13:$BJ13))</f>
        <v>7</v>
      </c>
      <c r="AR8">
        <f>MAX(COUNTIF(Values!$AG13:$BJ13,1),COUNTIF(Values!$AG13:$BJ13,2),COUNTIF(Values!$AG13:$BJ13,3),COUNTIF(Values!$AG13:$BJ13,4),COUNTIF(Values!$AG13:$BJ13,5))/COUNT(Values!$AG13:$BJ13)</f>
        <v>0.53333333333333333</v>
      </c>
      <c r="AS8">
        <f t="shared" si="19"/>
        <v>0</v>
      </c>
      <c r="AT8">
        <f>SUMPRODUCT((Values!$BK13:$CN13=1)*(Values!$BK$4:$CN$4=0))</f>
        <v>0</v>
      </c>
      <c r="AU8">
        <f>SUMPRODUCT((Values!$BK13:$CN13=2)*(Values!$BK$4:$CN$4=0))</f>
        <v>5</v>
      </c>
      <c r="AV8">
        <f>SUMPRODUCT((Values!$BK13:$CN13=3)*(Values!$BK$4:$CN$4=0))</f>
        <v>11</v>
      </c>
      <c r="AW8">
        <f>SUMPRODUCT((Values!$BK13:$CN13=4)*(Values!$BK$4:$CN$4=0))</f>
        <v>6</v>
      </c>
      <c r="AX8">
        <f>SUMPRODUCT((Values!$BK13:$CN13=5)*(Values!$BK$4:$CN$4=0))</f>
        <v>1</v>
      </c>
      <c r="AY8">
        <f>SUMPRODUCT((Values!$BK13:$CN13=1)*(Values!$BK$4:$CN$4=1))</f>
        <v>1</v>
      </c>
      <c r="AZ8">
        <f>SUMPRODUCT((Values!$BK13:$CN13=2)*(Values!$BK$4:$CN$4=1))</f>
        <v>2</v>
      </c>
      <c r="BA8">
        <f>SUMPRODUCT((Values!$BK13:$CN13=3)*(Values!$BK$4:$CN$4=1))</f>
        <v>4</v>
      </c>
      <c r="BB8">
        <f>SUMPRODUCT((Values!$BK13:$CN13=4)*(Values!$BK$4:$CN$4=1))</f>
        <v>0</v>
      </c>
      <c r="BC8">
        <f>SUMPRODUCT((Values!$BK13:$CN13=5)*(Values!$BK$4:$CN$4=1))</f>
        <v>0</v>
      </c>
      <c r="BD8">
        <f t="shared" si="20"/>
        <v>11</v>
      </c>
      <c r="BE8">
        <f t="shared" si="21"/>
        <v>1</v>
      </c>
      <c r="BF8">
        <f t="shared" si="22"/>
        <v>999</v>
      </c>
      <c r="BG8">
        <f t="shared" si="23"/>
        <v>999</v>
      </c>
      <c r="BH8">
        <f t="shared" si="24"/>
        <v>43</v>
      </c>
      <c r="BI8">
        <f t="shared" si="25"/>
        <v>999</v>
      </c>
      <c r="BJ8">
        <f t="shared" si="26"/>
        <v>999</v>
      </c>
      <c r="BK8">
        <f t="shared" si="27"/>
        <v>3</v>
      </c>
      <c r="BL8">
        <f t="shared" si="28"/>
        <v>4</v>
      </c>
      <c r="BM8">
        <f>SUMPRODUCT((Values!$BK$4:$CN$4=1)*ISNUMBER(Values!$BK13:$CN13))</f>
        <v>7</v>
      </c>
      <c r="BN8">
        <f>MAX(COUNTIF(Values!$BK13:$CN13,1),COUNTIF(Values!$BK13:$CN13,2),COUNTIF(Values!$BK13:$CN13,3),COUNTIF(Values!$BK13:$CN13,4),COUNTIF(Values!$BK13:$CN13,5))/COUNT(Values!$BK13:$CN13)</f>
        <v>0.5</v>
      </c>
      <c r="BO8">
        <f t="shared" si="29"/>
        <v>0</v>
      </c>
      <c r="BP8">
        <f>SUMPRODUCT((Values!$AG13:$BJ13=Values!$BK13:$CN13)*ISNUMBER(Values!$AG13:$BJ13)*ISNUMBER(Values!$BK13:$CN13))</f>
        <v>21</v>
      </c>
      <c r="BQ8">
        <f t="shared" si="30"/>
        <v>0</v>
      </c>
    </row>
    <row r="9" spans="1:69" x14ac:dyDescent="0.45">
      <c r="A9" t="str">
        <f>Values!$A$14</f>
        <v>Jonas Weber</v>
      </c>
      <c r="B9">
        <f>SUMPRODUCT((Values!$G14:$W14=1)*(Values!$G$4:$W$4=0))</f>
        <v>0</v>
      </c>
      <c r="C9">
        <f>SUMPRODUCT((Values!$G14:$W14=2)*(Values!$G$4:$W$4=0))</f>
        <v>2</v>
      </c>
      <c r="D9">
        <f>SUMPRODUCT((Values!$G14:$W14=3)*(Values!$G$4:$W$4=0))</f>
        <v>6</v>
      </c>
      <c r="E9">
        <f>SUMPRODUCT((Values!$G14:$W14=4)*(Values!$G$4:$W$4=0))</f>
        <v>4</v>
      </c>
      <c r="F9">
        <f>SUMPRODUCT((Values!$G14:$W14=5)*(Values!$G$4:$W$4=0))</f>
        <v>0</v>
      </c>
      <c r="G9">
        <f>SUMPRODUCT((Values!$G14:$W14=1)*(Values!$G$4:$W$4=1))</f>
        <v>0</v>
      </c>
      <c r="H9">
        <f>SUMPRODUCT((Values!$G14:$W14=2)*(Values!$G$4:$W$4=1))</f>
        <v>1</v>
      </c>
      <c r="I9">
        <f>SUMPRODUCT((Values!$G14:$W14=3)*(Values!$G$4:$W$4=1))</f>
        <v>4</v>
      </c>
      <c r="J9">
        <f>SUMPRODUCT((Values!$G14:$W14=4)*(Values!$G$4:$W$4=1))</f>
        <v>0</v>
      </c>
      <c r="K9">
        <f>SUMPRODUCT((Values!$G14:$W14=5)*(Values!$G$4:$W$4=1))</f>
        <v>0</v>
      </c>
      <c r="L9">
        <f t="shared" si="0"/>
        <v>6</v>
      </c>
      <c r="M9">
        <f t="shared" si="1"/>
        <v>1</v>
      </c>
      <c r="N9">
        <f t="shared" si="2"/>
        <v>999</v>
      </c>
      <c r="O9">
        <f t="shared" si="3"/>
        <v>999</v>
      </c>
      <c r="P9">
        <f t="shared" si="4"/>
        <v>43</v>
      </c>
      <c r="Q9">
        <f t="shared" si="5"/>
        <v>999</v>
      </c>
      <c r="R9">
        <f t="shared" si="6"/>
        <v>999</v>
      </c>
      <c r="S9">
        <f t="shared" si="7"/>
        <v>3</v>
      </c>
      <c r="T9">
        <f t="shared" si="8"/>
        <v>4</v>
      </c>
      <c r="U9">
        <f>SUMPRODUCT((Values!$G$4:$W$4=1)*ISNUMBER(Values!$G14:$W14))</f>
        <v>5</v>
      </c>
      <c r="V9">
        <f>MAX(COUNTIF(Values!$G14:$W14,1),COUNTIF(Values!$G14:$W14,2),COUNTIF(Values!$G14:$W14,3),COUNTIF(Values!$G14:$W14,4),COUNTIF(Values!$G14:$W14,5))/COUNT(Values!$G14:$W14)</f>
        <v>0.58823529411764708</v>
      </c>
      <c r="W9">
        <f t="shared" si="9"/>
        <v>0</v>
      </c>
      <c r="X9">
        <f>SUMPRODUCT((Values!$AG14:$BJ14=1)*(Values!$AG$4:$BJ$4=0))</f>
        <v>0</v>
      </c>
      <c r="Y9">
        <f>SUMPRODUCT((Values!$AG14:$BJ14=2)*(Values!$AG$4:$BJ$4=0))</f>
        <v>0</v>
      </c>
      <c r="Z9">
        <f>SUMPRODUCT((Values!$AG14:$BJ14=3)*(Values!$AG$4:$BJ$4=0))</f>
        <v>0</v>
      </c>
      <c r="AA9">
        <f>SUMPRODUCT((Values!$AG14:$BJ14=4)*(Values!$AG$4:$BJ$4=0))</f>
        <v>23</v>
      </c>
      <c r="AB9">
        <f>SUMPRODUCT((Values!$AG14:$BJ14=5)*(Values!$AG$4:$BJ$4=0))</f>
        <v>0</v>
      </c>
      <c r="AC9">
        <f>SUMPRODUCT((Values!$AG14:$BJ14=1)*(Values!$AG$4:$BJ$4=1))</f>
        <v>0</v>
      </c>
      <c r="AD9">
        <f>SUMPRODUCT((Values!$AG14:$BJ14=2)*(Values!$AG$4:$BJ$4=1))</f>
        <v>0</v>
      </c>
      <c r="AE9">
        <f>SUMPRODUCT((Values!$AG14:$BJ14=3)*(Values!$AG$4:$BJ$4=1))</f>
        <v>0</v>
      </c>
      <c r="AF9">
        <f>SUMPRODUCT((Values!$AG14:$BJ14=4)*(Values!$AG$4:$BJ$4=1))</f>
        <v>7</v>
      </c>
      <c r="AG9">
        <f>SUMPRODUCT((Values!$AG14:$BJ14=5)*(Values!$AG$4:$BJ$4=1))</f>
        <v>0</v>
      </c>
      <c r="AH9">
        <f t="shared" si="10"/>
        <v>23</v>
      </c>
      <c r="AI9">
        <f t="shared" si="11"/>
        <v>1</v>
      </c>
      <c r="AJ9">
        <f t="shared" si="12"/>
        <v>999</v>
      </c>
      <c r="AK9">
        <f t="shared" si="13"/>
        <v>999</v>
      </c>
      <c r="AL9">
        <f t="shared" si="14"/>
        <v>999</v>
      </c>
      <c r="AM9">
        <f t="shared" si="15"/>
        <v>74</v>
      </c>
      <c r="AN9">
        <f t="shared" si="16"/>
        <v>999</v>
      </c>
      <c r="AO9">
        <f t="shared" si="17"/>
        <v>4</v>
      </c>
      <c r="AP9">
        <f t="shared" si="18"/>
        <v>7</v>
      </c>
      <c r="AQ9">
        <f>SUMPRODUCT((Values!$AG$4:$BJ$4=1)*ISNUMBER(Values!$AG14:$BJ14))</f>
        <v>7</v>
      </c>
      <c r="AR9">
        <f>MAX(COUNTIF(Values!$AG14:$BJ14,1),COUNTIF(Values!$AG14:$BJ14,2),COUNTIF(Values!$AG14:$BJ14,3),COUNTIF(Values!$AG14:$BJ14,4),COUNTIF(Values!$AG14:$BJ14,5))/COUNT(Values!$AG14:$BJ14)</f>
        <v>1</v>
      </c>
      <c r="AS9">
        <f t="shared" si="19"/>
        <v>1</v>
      </c>
      <c r="AT9">
        <f>SUMPRODUCT((Values!$BK14:$CN14=1)*(Values!$BK$4:$CN$4=0))</f>
        <v>0</v>
      </c>
      <c r="AU9">
        <f>SUMPRODUCT((Values!$BK14:$CN14=2)*(Values!$BK$4:$CN$4=0))</f>
        <v>0</v>
      </c>
      <c r="AV9">
        <f>SUMPRODUCT((Values!$BK14:$CN14=3)*(Values!$BK$4:$CN$4=0))</f>
        <v>0</v>
      </c>
      <c r="AW9">
        <f>SUMPRODUCT((Values!$BK14:$CN14=4)*(Values!$BK$4:$CN$4=0))</f>
        <v>23</v>
      </c>
      <c r="AX9">
        <f>SUMPRODUCT((Values!$BK14:$CN14=5)*(Values!$BK$4:$CN$4=0))</f>
        <v>0</v>
      </c>
      <c r="AY9">
        <f>SUMPRODUCT((Values!$BK14:$CN14=1)*(Values!$BK$4:$CN$4=1))</f>
        <v>0</v>
      </c>
      <c r="AZ9">
        <f>SUMPRODUCT((Values!$BK14:$CN14=2)*(Values!$BK$4:$CN$4=1))</f>
        <v>0</v>
      </c>
      <c r="BA9">
        <f>SUMPRODUCT((Values!$BK14:$CN14=3)*(Values!$BK$4:$CN$4=1))</f>
        <v>0</v>
      </c>
      <c r="BB9">
        <f>SUMPRODUCT((Values!$BK14:$CN14=4)*(Values!$BK$4:$CN$4=1))</f>
        <v>7</v>
      </c>
      <c r="BC9">
        <f>SUMPRODUCT((Values!$BK14:$CN14=5)*(Values!$BK$4:$CN$4=1))</f>
        <v>0</v>
      </c>
      <c r="BD9">
        <f t="shared" si="20"/>
        <v>23</v>
      </c>
      <c r="BE9">
        <f t="shared" si="21"/>
        <v>1</v>
      </c>
      <c r="BF9">
        <f t="shared" si="22"/>
        <v>999</v>
      </c>
      <c r="BG9">
        <f t="shared" si="23"/>
        <v>999</v>
      </c>
      <c r="BH9">
        <f t="shared" si="24"/>
        <v>999</v>
      </c>
      <c r="BI9">
        <f t="shared" si="25"/>
        <v>74</v>
      </c>
      <c r="BJ9">
        <f t="shared" si="26"/>
        <v>999</v>
      </c>
      <c r="BK9">
        <f t="shared" si="27"/>
        <v>4</v>
      </c>
      <c r="BL9">
        <f t="shared" si="28"/>
        <v>7</v>
      </c>
      <c r="BM9">
        <f>SUMPRODUCT((Values!$BK$4:$CN$4=1)*ISNUMBER(Values!$BK14:$CN14))</f>
        <v>7</v>
      </c>
      <c r="BN9">
        <f>MAX(COUNTIF(Values!$BK14:$CN14,1),COUNTIF(Values!$BK14:$CN14,2),COUNTIF(Values!$BK14:$CN14,3),COUNTIF(Values!$BK14:$CN14,4),COUNTIF(Values!$BK14:$CN14,5))/COUNT(Values!$BK14:$CN14)</f>
        <v>1</v>
      </c>
      <c r="BO9">
        <f t="shared" si="29"/>
        <v>1</v>
      </c>
      <c r="BP9">
        <f>SUMPRODUCT((Values!$AG14:$BJ14=Values!$BK14:$CN14)*ISNUMBER(Values!$AG14:$BJ14)*ISNUMBER(Values!$BK14:$CN14))</f>
        <v>30</v>
      </c>
      <c r="BQ9">
        <f t="shared" si="30"/>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G9"/>
  <sheetViews>
    <sheetView workbookViewId="0"/>
  </sheetViews>
  <sheetFormatPr defaultRowHeight="14.25" x14ac:dyDescent="0.45"/>
  <sheetData>
    <row r="1" spans="1:293" x14ac:dyDescent="0.45">
      <c r="A1" t="s">
        <v>22</v>
      </c>
      <c r="B1" t="s">
        <v>662</v>
      </c>
      <c r="C1" t="s">
        <v>663</v>
      </c>
      <c r="D1" t="s">
        <v>20</v>
      </c>
      <c r="E1" t="s">
        <v>251</v>
      </c>
      <c r="F1" t="s">
        <v>255</v>
      </c>
      <c r="G1" t="s">
        <v>257</v>
      </c>
      <c r="H1" t="s">
        <v>259</v>
      </c>
      <c r="I1" t="s">
        <v>261</v>
      </c>
      <c r="J1" t="s">
        <v>664</v>
      </c>
      <c r="K1" t="s">
        <v>665</v>
      </c>
      <c r="L1" t="s">
        <v>666</v>
      </c>
      <c r="M1" t="s">
        <v>667</v>
      </c>
      <c r="N1" t="s">
        <v>668</v>
      </c>
      <c r="O1" t="s">
        <v>669</v>
      </c>
      <c r="P1" t="s">
        <v>670</v>
      </c>
      <c r="Q1" t="s">
        <v>671</v>
      </c>
      <c r="R1" t="s">
        <v>672</v>
      </c>
      <c r="S1" t="s">
        <v>673</v>
      </c>
      <c r="T1" t="s">
        <v>674</v>
      </c>
      <c r="U1" t="s">
        <v>675</v>
      </c>
      <c r="V1" t="s">
        <v>676</v>
      </c>
      <c r="W1" t="s">
        <v>677</v>
      </c>
      <c r="X1" t="s">
        <v>678</v>
      </c>
      <c r="Y1" t="s">
        <v>679</v>
      </c>
      <c r="Z1" t="s">
        <v>680</v>
      </c>
      <c r="AA1" t="s">
        <v>681</v>
      </c>
      <c r="AB1" t="s">
        <v>682</v>
      </c>
      <c r="AC1" t="s">
        <v>683</v>
      </c>
      <c r="AD1" t="s">
        <v>684</v>
      </c>
      <c r="AE1" t="s">
        <v>685</v>
      </c>
      <c r="AF1" t="s">
        <v>686</v>
      </c>
      <c r="AG1" t="s">
        <v>687</v>
      </c>
      <c r="AH1" t="s">
        <v>688</v>
      </c>
      <c r="AI1" t="s">
        <v>689</v>
      </c>
      <c r="AJ1" t="s">
        <v>690</v>
      </c>
      <c r="AK1" t="s">
        <v>691</v>
      </c>
      <c r="AL1" t="s">
        <v>692</v>
      </c>
      <c r="AM1" t="s">
        <v>693</v>
      </c>
      <c r="AN1" t="s">
        <v>694</v>
      </c>
      <c r="AO1" t="s">
        <v>695</v>
      </c>
      <c r="AP1" t="s">
        <v>696</v>
      </c>
      <c r="AQ1" t="s">
        <v>697</v>
      </c>
      <c r="AR1" t="s">
        <v>698</v>
      </c>
      <c r="AS1" t="s">
        <v>440</v>
      </c>
      <c r="AT1" t="s">
        <v>479</v>
      </c>
      <c r="AU1" t="s">
        <v>517</v>
      </c>
      <c r="AV1" t="s">
        <v>443</v>
      </c>
      <c r="AW1" t="s">
        <v>481</v>
      </c>
      <c r="AX1" t="s">
        <v>519</v>
      </c>
      <c r="AY1" t="s">
        <v>445</v>
      </c>
      <c r="AZ1" t="s">
        <v>483</v>
      </c>
      <c r="BA1" t="s">
        <v>521</v>
      </c>
      <c r="BB1" t="s">
        <v>447</v>
      </c>
      <c r="BC1" t="s">
        <v>485</v>
      </c>
      <c r="BD1" t="s">
        <v>523</v>
      </c>
      <c r="BE1" t="s">
        <v>449</v>
      </c>
      <c r="BF1" t="s">
        <v>487</v>
      </c>
      <c r="BG1" t="s">
        <v>525</v>
      </c>
      <c r="BH1" t="s">
        <v>451</v>
      </c>
      <c r="BI1" t="s">
        <v>489</v>
      </c>
      <c r="BJ1" t="s">
        <v>527</v>
      </c>
      <c r="BK1" t="s">
        <v>453</v>
      </c>
      <c r="BL1" t="s">
        <v>491</v>
      </c>
      <c r="BM1" t="s">
        <v>529</v>
      </c>
      <c r="BN1" t="s">
        <v>455</v>
      </c>
      <c r="BO1" t="s">
        <v>493</v>
      </c>
      <c r="BP1" t="s">
        <v>531</v>
      </c>
      <c r="BQ1" t="s">
        <v>457</v>
      </c>
      <c r="BR1" t="s">
        <v>495</v>
      </c>
      <c r="BS1" t="s">
        <v>533</v>
      </c>
      <c r="BT1" t="s">
        <v>459</v>
      </c>
      <c r="BU1" t="s">
        <v>497</v>
      </c>
      <c r="BV1" t="s">
        <v>535</v>
      </c>
      <c r="BW1" t="s">
        <v>461</v>
      </c>
      <c r="BX1" t="s">
        <v>499</v>
      </c>
      <c r="BY1" t="s">
        <v>537</v>
      </c>
      <c r="BZ1" t="s">
        <v>463</v>
      </c>
      <c r="CA1" t="s">
        <v>501</v>
      </c>
      <c r="CB1" t="s">
        <v>539</v>
      </c>
      <c r="CC1" t="s">
        <v>465</v>
      </c>
      <c r="CD1" t="s">
        <v>503</v>
      </c>
      <c r="CE1" t="s">
        <v>541</v>
      </c>
      <c r="CF1" t="s">
        <v>467</v>
      </c>
      <c r="CG1" t="s">
        <v>505</v>
      </c>
      <c r="CH1" t="s">
        <v>543</v>
      </c>
      <c r="CI1" t="s">
        <v>469</v>
      </c>
      <c r="CJ1" t="s">
        <v>507</v>
      </c>
      <c r="CK1" t="s">
        <v>545</v>
      </c>
      <c r="CL1" t="s">
        <v>471</v>
      </c>
      <c r="CM1" t="s">
        <v>509</v>
      </c>
      <c r="CN1" t="s">
        <v>547</v>
      </c>
      <c r="CO1" t="s">
        <v>473</v>
      </c>
      <c r="CP1" t="s">
        <v>511</v>
      </c>
      <c r="CQ1" t="s">
        <v>549</v>
      </c>
      <c r="CR1" t="s">
        <v>475</v>
      </c>
      <c r="CS1" t="s">
        <v>513</v>
      </c>
      <c r="CT1" t="s">
        <v>551</v>
      </c>
      <c r="CU1" t="s">
        <v>477</v>
      </c>
      <c r="CV1" t="s">
        <v>515</v>
      </c>
      <c r="CW1" t="s">
        <v>553</v>
      </c>
      <c r="CX1" t="s">
        <v>699</v>
      </c>
      <c r="CY1" t="s">
        <v>700</v>
      </c>
      <c r="CZ1" t="s">
        <v>701</v>
      </c>
      <c r="DA1" t="s">
        <v>702</v>
      </c>
      <c r="DB1" t="s">
        <v>703</v>
      </c>
      <c r="DC1" t="s">
        <v>704</v>
      </c>
      <c r="DD1" t="s">
        <v>705</v>
      </c>
      <c r="DE1" t="s">
        <v>706</v>
      </c>
      <c r="DF1" t="s">
        <v>707</v>
      </c>
      <c r="DG1" t="s">
        <v>708</v>
      </c>
      <c r="DH1" t="s">
        <v>709</v>
      </c>
      <c r="DI1" t="s">
        <v>710</v>
      </c>
      <c r="DJ1" t="s">
        <v>711</v>
      </c>
      <c r="DK1" t="s">
        <v>712</v>
      </c>
      <c r="DL1" t="s">
        <v>713</v>
      </c>
      <c r="DM1" t="s">
        <v>714</v>
      </c>
      <c r="DN1" t="s">
        <v>715</v>
      </c>
      <c r="DO1" t="s">
        <v>716</v>
      </c>
      <c r="DP1" t="s">
        <v>717</v>
      </c>
      <c r="DQ1" t="s">
        <v>718</v>
      </c>
      <c r="DR1" t="s">
        <v>719</v>
      </c>
      <c r="DS1" t="s">
        <v>720</v>
      </c>
      <c r="DT1" t="s">
        <v>721</v>
      </c>
      <c r="DU1" t="s">
        <v>722</v>
      </c>
      <c r="DV1" t="s">
        <v>723</v>
      </c>
      <c r="DW1" t="s">
        <v>724</v>
      </c>
      <c r="DX1" t="s">
        <v>725</v>
      </c>
      <c r="DY1" t="s">
        <v>726</v>
      </c>
      <c r="DZ1" t="s">
        <v>727</v>
      </c>
      <c r="EA1" t="s">
        <v>728</v>
      </c>
      <c r="EB1" t="s">
        <v>729</v>
      </c>
      <c r="EC1" t="s">
        <v>730</v>
      </c>
      <c r="ED1" t="s">
        <v>731</v>
      </c>
      <c r="EE1" t="s">
        <v>732</v>
      </c>
      <c r="EF1" t="s">
        <v>733</v>
      </c>
      <c r="EG1" t="s">
        <v>734</v>
      </c>
      <c r="EH1" t="s">
        <v>735</v>
      </c>
      <c r="EI1" t="s">
        <v>736</v>
      </c>
      <c r="EJ1" t="s">
        <v>737</v>
      </c>
      <c r="EK1" t="s">
        <v>738</v>
      </c>
      <c r="EL1" t="s">
        <v>739</v>
      </c>
      <c r="EM1" t="s">
        <v>740</v>
      </c>
      <c r="EN1" t="s">
        <v>741</v>
      </c>
      <c r="EO1" t="s">
        <v>742</v>
      </c>
      <c r="EP1" t="s">
        <v>743</v>
      </c>
      <c r="EQ1" t="s">
        <v>744</v>
      </c>
      <c r="ER1" t="s">
        <v>745</v>
      </c>
      <c r="ES1" t="s">
        <v>746</v>
      </c>
      <c r="ET1" t="s">
        <v>555</v>
      </c>
      <c r="EU1" t="s">
        <v>566</v>
      </c>
      <c r="EV1" t="s">
        <v>573</v>
      </c>
      <c r="EW1" t="s">
        <v>557</v>
      </c>
      <c r="EX1" t="s">
        <v>567</v>
      </c>
      <c r="EY1" t="s">
        <v>574</v>
      </c>
      <c r="EZ1" t="s">
        <v>558</v>
      </c>
      <c r="FA1" t="s">
        <v>568</v>
      </c>
      <c r="FB1" t="s">
        <v>575</v>
      </c>
      <c r="FC1" t="s">
        <v>559</v>
      </c>
      <c r="FD1" t="s">
        <v>569</v>
      </c>
      <c r="FE1" t="s">
        <v>576</v>
      </c>
      <c r="FF1" t="s">
        <v>561</v>
      </c>
      <c r="FG1" t="s">
        <v>570</v>
      </c>
      <c r="FH1" t="s">
        <v>577</v>
      </c>
      <c r="FI1" t="s">
        <v>562</v>
      </c>
      <c r="FJ1" t="s">
        <v>571</v>
      </c>
      <c r="FK1" t="s">
        <v>578</v>
      </c>
      <c r="FL1" t="s">
        <v>564</v>
      </c>
      <c r="FM1" t="s">
        <v>572</v>
      </c>
      <c r="FN1" t="s">
        <v>579</v>
      </c>
      <c r="FO1" t="s">
        <v>747</v>
      </c>
      <c r="FP1" t="s">
        <v>748</v>
      </c>
      <c r="FQ1" t="s">
        <v>749</v>
      </c>
      <c r="FR1" t="s">
        <v>750</v>
      </c>
      <c r="FS1" t="s">
        <v>751</v>
      </c>
      <c r="FT1" t="s">
        <v>752</v>
      </c>
      <c r="FU1" t="s">
        <v>582</v>
      </c>
      <c r="FV1" t="s">
        <v>583</v>
      </c>
      <c r="FW1" t="s">
        <v>584</v>
      </c>
      <c r="FX1" t="s">
        <v>585</v>
      </c>
      <c r="FY1" t="s">
        <v>586</v>
      </c>
      <c r="FZ1" t="s">
        <v>587</v>
      </c>
      <c r="GA1" t="s">
        <v>753</v>
      </c>
      <c r="GB1" t="s">
        <v>754</v>
      </c>
      <c r="GC1" t="s">
        <v>755</v>
      </c>
      <c r="GD1" t="s">
        <v>756</v>
      </c>
      <c r="GE1" t="s">
        <v>757</v>
      </c>
      <c r="GF1" t="s">
        <v>758</v>
      </c>
      <c r="GG1" t="s">
        <v>759</v>
      </c>
      <c r="GH1" t="s">
        <v>760</v>
      </c>
      <c r="GI1" t="s">
        <v>761</v>
      </c>
      <c r="GJ1" t="s">
        <v>762</v>
      </c>
      <c r="GK1" t="s">
        <v>763</v>
      </c>
      <c r="GL1" t="s">
        <v>764</v>
      </c>
      <c r="GM1" t="s">
        <v>765</v>
      </c>
      <c r="GN1" t="s">
        <v>766</v>
      </c>
      <c r="GO1" t="s">
        <v>767</v>
      </c>
      <c r="GP1" t="s">
        <v>768</v>
      </c>
      <c r="GQ1" t="s">
        <v>769</v>
      </c>
      <c r="GR1" t="s">
        <v>770</v>
      </c>
      <c r="GS1" t="s">
        <v>771</v>
      </c>
      <c r="GT1" t="s">
        <v>772</v>
      </c>
      <c r="GU1" t="s">
        <v>773</v>
      </c>
      <c r="GV1" t="s">
        <v>774</v>
      </c>
      <c r="GW1" t="s">
        <v>775</v>
      </c>
      <c r="GX1" t="s">
        <v>776</v>
      </c>
      <c r="GY1" t="s">
        <v>777</v>
      </c>
      <c r="GZ1" t="s">
        <v>299</v>
      </c>
      <c r="HA1" t="s">
        <v>309</v>
      </c>
      <c r="HB1" t="s">
        <v>273</v>
      </c>
      <c r="HC1" t="s">
        <v>263</v>
      </c>
      <c r="HD1" t="s">
        <v>305</v>
      </c>
      <c r="HE1" t="s">
        <v>289</v>
      </c>
      <c r="HF1" t="s">
        <v>301</v>
      </c>
      <c r="HG1" t="s">
        <v>313</v>
      </c>
      <c r="HH1" t="s">
        <v>279</v>
      </c>
      <c r="HI1" t="s">
        <v>269</v>
      </c>
      <c r="HJ1" t="s">
        <v>277</v>
      </c>
      <c r="HK1" t="s">
        <v>307</v>
      </c>
      <c r="HL1" t="s">
        <v>285</v>
      </c>
      <c r="HM1" t="s">
        <v>291</v>
      </c>
      <c r="HN1" t="s">
        <v>297</v>
      </c>
      <c r="HO1" t="s">
        <v>267</v>
      </c>
      <c r="HP1" t="s">
        <v>275</v>
      </c>
      <c r="HQ1" t="s">
        <v>281</v>
      </c>
      <c r="HR1" t="s">
        <v>287</v>
      </c>
      <c r="HS1" t="s">
        <v>293</v>
      </c>
      <c r="HT1" t="s">
        <v>303</v>
      </c>
      <c r="HU1" t="s">
        <v>315</v>
      </c>
      <c r="HV1" t="s">
        <v>311</v>
      </c>
      <c r="HW1" t="s">
        <v>271</v>
      </c>
      <c r="HX1" t="s">
        <v>283</v>
      </c>
      <c r="HY1" t="s">
        <v>295</v>
      </c>
      <c r="HZ1" t="s">
        <v>317</v>
      </c>
      <c r="IA1" t="s">
        <v>379</v>
      </c>
      <c r="IB1" t="s">
        <v>335</v>
      </c>
      <c r="IC1" t="s">
        <v>396</v>
      </c>
      <c r="ID1" t="s">
        <v>361</v>
      </c>
      <c r="IE1" t="s">
        <v>422</v>
      </c>
      <c r="IF1" t="s">
        <v>320</v>
      </c>
      <c r="IG1" t="s">
        <v>382</v>
      </c>
      <c r="IH1" t="s">
        <v>343</v>
      </c>
      <c r="II1" t="s">
        <v>404</v>
      </c>
      <c r="IJ1" t="s">
        <v>359</v>
      </c>
      <c r="IK1" t="s">
        <v>420</v>
      </c>
      <c r="IL1" t="s">
        <v>330</v>
      </c>
      <c r="IM1" t="s">
        <v>392</v>
      </c>
      <c r="IN1" t="s">
        <v>349</v>
      </c>
      <c r="IO1" t="s">
        <v>410</v>
      </c>
      <c r="IP1" t="s">
        <v>369</v>
      </c>
      <c r="IQ1" t="s">
        <v>430</v>
      </c>
      <c r="IR1" t="s">
        <v>324</v>
      </c>
      <c r="IS1" t="s">
        <v>386</v>
      </c>
      <c r="IT1" t="s">
        <v>339</v>
      </c>
      <c r="IU1" t="s">
        <v>400</v>
      </c>
      <c r="IV1" t="s">
        <v>353</v>
      </c>
      <c r="IW1" t="s">
        <v>414</v>
      </c>
      <c r="IX1" t="s">
        <v>367</v>
      </c>
      <c r="IY1" t="s">
        <v>428</v>
      </c>
      <c r="IZ1" t="s">
        <v>375</v>
      </c>
      <c r="JA1" t="s">
        <v>436</v>
      </c>
      <c r="JB1" t="s">
        <v>322</v>
      </c>
      <c r="JC1" t="s">
        <v>384</v>
      </c>
      <c r="JD1" t="s">
        <v>337</v>
      </c>
      <c r="JE1" t="s">
        <v>398</v>
      </c>
      <c r="JF1" t="s">
        <v>351</v>
      </c>
      <c r="JG1" t="s">
        <v>412</v>
      </c>
      <c r="JH1" t="s">
        <v>365</v>
      </c>
      <c r="JI1" t="s">
        <v>426</v>
      </c>
      <c r="JJ1" t="s">
        <v>373</v>
      </c>
      <c r="JK1" t="s">
        <v>434</v>
      </c>
      <c r="JL1" t="s">
        <v>326</v>
      </c>
      <c r="JM1" t="s">
        <v>388</v>
      </c>
      <c r="JN1" t="s">
        <v>341</v>
      </c>
      <c r="JO1" t="s">
        <v>402</v>
      </c>
      <c r="JP1" t="s">
        <v>355</v>
      </c>
      <c r="JQ1" t="s">
        <v>416</v>
      </c>
      <c r="JR1" t="s">
        <v>328</v>
      </c>
      <c r="JS1" t="s">
        <v>390</v>
      </c>
      <c r="JT1" t="s">
        <v>345</v>
      </c>
      <c r="JU1" t="s">
        <v>406</v>
      </c>
      <c r="JV1" t="s">
        <v>357</v>
      </c>
      <c r="JW1" t="s">
        <v>418</v>
      </c>
      <c r="JX1" t="s">
        <v>347</v>
      </c>
      <c r="JY1" t="s">
        <v>408</v>
      </c>
      <c r="JZ1" t="s">
        <v>332</v>
      </c>
      <c r="KA1" t="s">
        <v>394</v>
      </c>
      <c r="KB1" t="s">
        <v>363</v>
      </c>
      <c r="KC1" t="s">
        <v>424</v>
      </c>
      <c r="KD1" t="s">
        <v>377</v>
      </c>
      <c r="KE1" t="s">
        <v>438</v>
      </c>
      <c r="KF1" t="s">
        <v>371</v>
      </c>
      <c r="KG1" t="s">
        <v>432</v>
      </c>
    </row>
    <row r="2" spans="1:293" x14ac:dyDescent="0.45">
      <c r="A2">
        <f t="shared" ref="A2:A9" si="0">schema_version</f>
        <v>1</v>
      </c>
      <c r="B2" t="str">
        <f>Values!$A$7</f>
        <v>Maya Okafor</v>
      </c>
      <c r="C2" t="str">
        <f>TEXT(Responses!$C$2,"yyyy-mm-dd")</f>
        <v>2026-09-14</v>
      </c>
      <c r="D2">
        <f t="shared" ref="D2:D9" si="1">roster_n</f>
        <v>9</v>
      </c>
      <c r="E2">
        <f>Values!$B7</f>
        <v>4</v>
      </c>
      <c r="F2">
        <f>Values!$C7</f>
        <v>2</v>
      </c>
      <c r="G2">
        <f>Values!$D7</f>
        <v>3</v>
      </c>
      <c r="H2">
        <f>Values!$E7</f>
        <v>4</v>
      </c>
      <c r="I2">
        <f>Values!$F7</f>
        <v>4</v>
      </c>
      <c r="J2">
        <f>IF(COUNT(Values!$X7,Values!$AC7,Values!$K7)&lt;3,NA(),AVERAGE(Values!$X7,Values!$AC7,6-Values!$K7))</f>
        <v>5</v>
      </c>
      <c r="K2">
        <f>IF(COUNT(Values!$AG7,Values!$AO7,Values!$BB7)&lt;3,NA(),AVERAGE(Values!$AG7,Values!$AO7,6-Values!$BB7))</f>
        <v>4.333333333333333</v>
      </c>
      <c r="L2">
        <f>IF(COUNT(Values!$BK7,Values!$BS7,Values!$CF7)&lt;3,NA(),AVERAGE(Values!$BK7,Values!$BS7,6-Values!$CF7))</f>
        <v>4.333333333333333</v>
      </c>
      <c r="M2">
        <f>IF(COUNT(Values!$G7,Values!$AA7,Values!$S7)&lt;3,NA(),AVERAGE(Values!$G7,6-Values!$AA7,Values!$S7))</f>
        <v>4</v>
      </c>
      <c r="N2">
        <f>IF(COUNT(Values!$AH7,Values!$AS7,Values!$BA7)&lt;3,NA(),AVERAGE(Values!$AH7,6-Values!$AS7,Values!$BA7))</f>
        <v>4.666666666666667</v>
      </c>
      <c r="O2">
        <f>IF(COUNT(Values!$BL7,Values!$BW7,Values!$CE7)&lt;3,NA(),AVERAGE(Values!$BL7,6-Values!$BW7,Values!$CE7))</f>
        <v>3.6666666666666665</v>
      </c>
      <c r="P2">
        <f>IF(COUNT(Values!$Y7,Values!$AE7,Values!$N7)&lt;3,NA(),AVERAGE(Values!$Y7,Values!$AE7,6-Values!$N7))</f>
        <v>4.666666666666667</v>
      </c>
      <c r="Q2">
        <f>IF(COUNT(Values!$AM7,Values!$AV7,Values!$BF7)&lt;3,NA(),AVERAGE(Values!$AM7,Values!$AV7,6-Values!$BF7))</f>
        <v>4.333333333333333</v>
      </c>
      <c r="R2">
        <f>IF(COUNT(Values!$BQ7,Values!$BZ7,Values!$CJ7)&lt;3,NA(),AVERAGE(Values!$BQ7,Values!$BZ7,6-Values!$CJ7))</f>
        <v>4.333333333333333</v>
      </c>
      <c r="S2">
        <f>IF(COUNT(Values!$I7,Values!$M7,Values!$AB7,Values!$Q7,Values!$T7,Values!$W7)&lt;6,NA(),AVERAGE(Values!$I7,AVERAGE(Values!$M7,Values!$AB7),Values!$Q7,Values!$T7,6-Values!$W7))</f>
        <v>1.8</v>
      </c>
      <c r="T2">
        <f>IF(COUNT(Values!$AJ7,Values!$AQ7,Values!$AX7,Values!$BE7,Values!$BI7)&lt;5,NA(),AVERAGE(Values!$AJ7,Values!$AQ7,Values!$AX7,Values!$BE7,6-Values!$BI7))</f>
        <v>1.6</v>
      </c>
      <c r="U2">
        <f>IF(COUNT(Values!$BN7,Values!$BU7,Values!$CB7,Values!$CI7,Values!$CM7)&lt;5,NA(),AVERAGE(Values!$BN7,Values!$BU7,Values!$CB7,Values!$CI7,6-Values!$CM7))</f>
        <v>2.4</v>
      </c>
      <c r="V2">
        <f>IF(COUNT(Values!$H7,Values!$L7,Values!$O7,Values!$R7,Values!$U7)&lt;5,NA(),AVERAGE(Values!$H7,Values!$L7,Values!$O7,6-Values!$R7,Values!$U7))</f>
        <v>1</v>
      </c>
      <c r="W2">
        <f>IF(COUNT(Values!$AI7,Values!$AP7,Values!$AW7,Values!$BD7,Values!$BH7)&lt;5,NA(),AVERAGE(Values!$AI7,Values!$AP7,Values!$AW7,6-Values!$BD7,Values!$BH7))</f>
        <v>2</v>
      </c>
      <c r="X2">
        <f>IF(COUNT(Values!$BM7,Values!$BT7,Values!$CA7,Values!$CH7,Values!$CL7)&lt;5,NA(),AVERAGE(Values!$BM7,Values!$BT7,Values!$CA7,6-Values!$CH7,Values!$CL7))</f>
        <v>2.4</v>
      </c>
      <c r="Y2">
        <f>IF(COUNT(Values!$Z7,Values!$AF7,Values!$AD7)&lt;3,NA(),AVERAGE(Values!$Z7,6-Values!$AF7,Values!$AD7))</f>
        <v>4</v>
      </c>
      <c r="Z2">
        <f>IF(COUNT(Values!$AK7,Values!$AR7,Values!$AY7)&lt;3,NA(),AVERAGE(Values!$AK7,6-Values!$AR7,Values!$AY7))</f>
        <v>4.666666666666667</v>
      </c>
      <c r="AA2">
        <f>IF(COUNT(Values!$BO7,Values!$BV7,Values!$CC7)&lt;3,NA(),AVERAGE(Values!$BO7,6-Values!$BV7,Values!$CC7))</f>
        <v>4</v>
      </c>
      <c r="AB2">
        <f>IF(COUNT(Values!$J7,Values!$P7,Values!$V7)&lt;3,NA(),AVERAGE(Values!$J7,6-Values!$P7,Values!$V7))</f>
        <v>3</v>
      </c>
      <c r="AC2">
        <f>IF(COUNT(Values!$AL7,Values!$AT7,Values!$AZ7)&lt;3,NA(),AVERAGE(Values!$AL7,6-Values!$AT7,Values!$AZ7))</f>
        <v>3</v>
      </c>
      <c r="AD2">
        <f>IF(COUNT(Values!$BP7,Values!$BX7,Values!$CD7)&lt;3,NA(),AVERAGE(Values!$BP7,6-Values!$BX7,Values!$CD7))</f>
        <v>3.3333333333333335</v>
      </c>
      <c r="AE2">
        <f t="shared" ref="AE2:AE9" si="2">IF(OR(ISNA($K2),ISNA($J2)),NA(),$K2-$J2)</f>
        <v>-0.66666666666666696</v>
      </c>
      <c r="AF2">
        <f t="shared" ref="AF2:AF9" si="3">IF(OR(ISNA($L2),ISNA($K2)),NA(),$L2-$K2)</f>
        <v>0</v>
      </c>
      <c r="AG2">
        <f t="shared" ref="AG2:AG9" si="4">IF(OR(ISNA($N2),ISNA($M2)),NA(),$N2-$M2)</f>
        <v>0.66666666666666696</v>
      </c>
      <c r="AH2">
        <f t="shared" ref="AH2:AH9" si="5">IF(OR(ISNA($O2),ISNA($N2)),NA(),$O2-$N2)</f>
        <v>-1.0000000000000004</v>
      </c>
      <c r="AI2">
        <f t="shared" ref="AI2:AI9" si="6">IF(OR(ISNA($Q2),ISNA($P2)),NA(),$Q2-$P2)</f>
        <v>-0.33333333333333393</v>
      </c>
      <c r="AJ2">
        <f t="shared" ref="AJ2:AJ9" si="7">IF(OR(ISNA($R2),ISNA($Q2)),NA(),$R2-$Q2)</f>
        <v>0</v>
      </c>
      <c r="AK2">
        <f t="shared" ref="AK2:AK9" si="8">IF(OR(ISNA($T2),ISNA($S2)),NA(),$T2-$S2)</f>
        <v>-0.19999999999999996</v>
      </c>
      <c r="AL2">
        <f t="shared" ref="AL2:AL9" si="9">IF(OR(ISNA($U2),ISNA($T2)),NA(),$U2-$T2)</f>
        <v>0.79999999999999982</v>
      </c>
      <c r="AM2">
        <f t="shared" ref="AM2:AM9" si="10">IF(OR(ISNA($W2),ISNA($V2)),NA(),$W2-$V2)</f>
        <v>1</v>
      </c>
      <c r="AN2">
        <f t="shared" ref="AN2:AN9" si="11">IF(OR(ISNA($X2),ISNA($W2)),NA(),$X2-$W2)</f>
        <v>0.39999999999999991</v>
      </c>
      <c r="AO2">
        <f t="shared" ref="AO2:AO9" si="12">IF(OR(ISNA($Z2),ISNA($Y2)),NA(),$Z2-$Y2)</f>
        <v>0.66666666666666696</v>
      </c>
      <c r="AP2">
        <f t="shared" ref="AP2:AP9" si="13">IF(OR(ISNA($AA2),ISNA($Z2)),NA(),$AA2-$Z2)</f>
        <v>-0.66666666666666696</v>
      </c>
      <c r="AQ2">
        <f t="shared" ref="AQ2:AQ9" si="14">IF(OR(ISNA($AC2),ISNA($AB2)),NA(),$AC2-$AB2)</f>
        <v>0</v>
      </c>
      <c r="AR2">
        <f t="shared" ref="AR2:AR9" si="15">IF(OR(ISNA($AD2),ISNA($AC2)),NA(),$AD2-$AC2)</f>
        <v>0.33333333333333348</v>
      </c>
      <c r="AS2">
        <f>Values!$CO7</f>
        <v>5</v>
      </c>
      <c r="AT2">
        <f>Values!$DH7</f>
        <v>6</v>
      </c>
      <c r="AU2">
        <f>Values!$EA7</f>
        <v>6</v>
      </c>
      <c r="AV2">
        <f>Values!$CP7</f>
        <v>5</v>
      </c>
      <c r="AW2">
        <f>Values!$DI7</f>
        <v>6</v>
      </c>
      <c r="AX2">
        <f>Values!$EB7</f>
        <v>6</v>
      </c>
      <c r="AY2">
        <f>Values!$CQ7</f>
        <v>4</v>
      </c>
      <c r="AZ2">
        <f>Values!$DJ7</f>
        <v>5</v>
      </c>
      <c r="BA2">
        <f>Values!$EC7</f>
        <v>5</v>
      </c>
      <c r="BB2">
        <f>Values!$CR7</f>
        <v>4</v>
      </c>
      <c r="BC2">
        <f>Values!$DK7</f>
        <v>6</v>
      </c>
      <c r="BD2">
        <f>Values!$ED7</f>
        <v>6</v>
      </c>
      <c r="BE2">
        <f>Values!$CS7</f>
        <v>5</v>
      </c>
      <c r="BF2">
        <f>Values!$DL7</f>
        <v>6</v>
      </c>
      <c r="BG2">
        <f>Values!$EE7</f>
        <v>6</v>
      </c>
      <c r="BH2">
        <f>Values!$CT7</f>
        <v>4</v>
      </c>
      <c r="BI2">
        <f>Values!$DM7</f>
        <v>5</v>
      </c>
      <c r="BJ2">
        <f>Values!$EF7</f>
        <v>5</v>
      </c>
      <c r="BK2">
        <f>Values!$CU7</f>
        <v>4</v>
      </c>
      <c r="BL2">
        <f>Values!$DN7</f>
        <v>5</v>
      </c>
      <c r="BM2">
        <f>Values!$EG7</f>
        <v>5</v>
      </c>
      <c r="BN2">
        <f>Values!$CV7</f>
        <v>4</v>
      </c>
      <c r="BO2">
        <f>Values!$DO7</f>
        <v>5</v>
      </c>
      <c r="BP2">
        <f>Values!$EH7</f>
        <v>5</v>
      </c>
      <c r="BQ2">
        <f>Values!$CW7</f>
        <v>3</v>
      </c>
      <c r="BR2">
        <f>Values!$DP7</f>
        <v>4</v>
      </c>
      <c r="BS2">
        <f>Values!$EI7</f>
        <v>4</v>
      </c>
      <c r="BT2">
        <f>Values!$CX7</f>
        <v>3</v>
      </c>
      <c r="BU2">
        <f>Values!$DQ7</f>
        <v>4</v>
      </c>
      <c r="BV2">
        <f>Values!$EJ7</f>
        <v>4</v>
      </c>
      <c r="BW2">
        <f>Values!$CY7</f>
        <v>3</v>
      </c>
      <c r="BX2">
        <f>Values!$DR7</f>
        <v>5</v>
      </c>
      <c r="BY2">
        <f>Values!$EK7</f>
        <v>4</v>
      </c>
      <c r="BZ2">
        <f>Values!$CZ7</f>
        <v>3</v>
      </c>
      <c r="CA2">
        <f>Values!$DS7</f>
        <v>4</v>
      </c>
      <c r="CB2">
        <f>Values!$EL7</f>
        <v>4</v>
      </c>
      <c r="CC2">
        <f>Values!$DA7</f>
        <v>4</v>
      </c>
      <c r="CD2">
        <f>Values!$DT7</f>
        <v>6</v>
      </c>
      <c r="CE2">
        <f>Values!$EM7</f>
        <v>5</v>
      </c>
      <c r="CF2">
        <f>Values!$DB7</f>
        <v>4</v>
      </c>
      <c r="CG2">
        <f>Values!$DU7</f>
        <v>5</v>
      </c>
      <c r="CH2">
        <f>Values!$EN7</f>
        <v>4</v>
      </c>
      <c r="CI2">
        <f>Values!$DC7</f>
        <v>3</v>
      </c>
      <c r="CJ2">
        <f>Values!$DV7</f>
        <v>4</v>
      </c>
      <c r="CK2">
        <f>Values!$EO7</f>
        <v>4</v>
      </c>
      <c r="CL2">
        <f>Values!$DD7</f>
        <v>5</v>
      </c>
      <c r="CM2">
        <f>Values!$DW7</f>
        <v>6</v>
      </c>
      <c r="CN2">
        <f>Values!$EP7</f>
        <v>6</v>
      </c>
      <c r="CO2">
        <f>Values!$DE7</f>
        <v>5</v>
      </c>
      <c r="CP2">
        <f>Values!$DX7</f>
        <v>6</v>
      </c>
      <c r="CQ2">
        <f>Values!$EQ7</f>
        <v>6</v>
      </c>
      <c r="CR2">
        <f>Values!$DF7</f>
        <v>5</v>
      </c>
      <c r="CS2">
        <f>Values!$DY7</f>
        <v>6</v>
      </c>
      <c r="CT2">
        <f>Values!$ER7</f>
        <v>6</v>
      </c>
      <c r="CU2">
        <f>Values!$DG7</f>
        <v>5</v>
      </c>
      <c r="CV2">
        <f>Values!$DZ7</f>
        <v>6</v>
      </c>
      <c r="CW2">
        <f>Values!$ES7</f>
        <v>6</v>
      </c>
      <c r="CX2">
        <f t="shared" ref="CX2:CX9" si="16">IF(AND(ISNUMBER($AT2),ISNUMBER($AS2)),$AT2-$AS2,"NA")</f>
        <v>1</v>
      </c>
      <c r="CY2">
        <f t="shared" ref="CY2:CY9" si="17">IF(AND(ISNUMBER($AU2),ISNUMBER($AT2)),$AU2-$AT2,"NA")</f>
        <v>0</v>
      </c>
      <c r="CZ2">
        <f t="shared" ref="CZ2:CZ9" si="18">IF(AND(ISNUMBER($AW2),ISNUMBER($AV2)),$AW2-$AV2,"NA")</f>
        <v>1</v>
      </c>
      <c r="DA2">
        <f t="shared" ref="DA2:DA9" si="19">IF(AND(ISNUMBER($AX2),ISNUMBER($AW2)),$AX2-$AW2,"NA")</f>
        <v>0</v>
      </c>
      <c r="DB2">
        <f t="shared" ref="DB2:DB9" si="20">IF(AND(ISNUMBER($AZ2),ISNUMBER($AY2)),$AZ2-$AY2,"NA")</f>
        <v>1</v>
      </c>
      <c r="DC2">
        <f t="shared" ref="DC2:DC9" si="21">IF(AND(ISNUMBER($BA2),ISNUMBER($AZ2)),$BA2-$AZ2,"NA")</f>
        <v>0</v>
      </c>
      <c r="DD2">
        <f t="shared" ref="DD2:DD9" si="22">IF(AND(ISNUMBER($BC2),ISNUMBER($BB2)),$BC2-$BB2,"NA")</f>
        <v>2</v>
      </c>
      <c r="DE2">
        <f t="shared" ref="DE2:DE9" si="23">IF(AND(ISNUMBER($BD2),ISNUMBER($BC2)),$BD2-$BC2,"NA")</f>
        <v>0</v>
      </c>
      <c r="DF2">
        <f t="shared" ref="DF2:DF9" si="24">IF(AND(ISNUMBER($BF2),ISNUMBER($BE2)),$BF2-$BE2,"NA")</f>
        <v>1</v>
      </c>
      <c r="DG2">
        <f t="shared" ref="DG2:DG9" si="25">IF(AND(ISNUMBER($BG2),ISNUMBER($BF2)),$BG2-$BF2,"NA")</f>
        <v>0</v>
      </c>
      <c r="DH2">
        <f t="shared" ref="DH2:DH9" si="26">IF(AND(ISNUMBER($BI2),ISNUMBER($BH2)),$BI2-$BH2,"NA")</f>
        <v>1</v>
      </c>
      <c r="DI2">
        <f t="shared" ref="DI2:DI9" si="27">IF(AND(ISNUMBER($BJ2),ISNUMBER($BI2)),$BJ2-$BI2,"NA")</f>
        <v>0</v>
      </c>
      <c r="DJ2">
        <f t="shared" ref="DJ2:DJ9" si="28">IF(AND(ISNUMBER($BL2),ISNUMBER($BK2)),$BL2-$BK2,"NA")</f>
        <v>1</v>
      </c>
      <c r="DK2">
        <f t="shared" ref="DK2:DK9" si="29">IF(AND(ISNUMBER($BM2),ISNUMBER($BL2)),$BM2-$BL2,"NA")</f>
        <v>0</v>
      </c>
      <c r="DL2">
        <f t="shared" ref="DL2:DL9" si="30">IF(AND(ISNUMBER($BO2),ISNUMBER($BN2)),$BO2-$BN2,"NA")</f>
        <v>1</v>
      </c>
      <c r="DM2">
        <f t="shared" ref="DM2:DM9" si="31">IF(AND(ISNUMBER($BP2),ISNUMBER($BO2)),$BP2-$BO2,"NA")</f>
        <v>0</v>
      </c>
      <c r="DN2">
        <f t="shared" ref="DN2:DN9" si="32">IF(AND(ISNUMBER($BR2),ISNUMBER($BQ2)),$BR2-$BQ2,"NA")</f>
        <v>1</v>
      </c>
      <c r="DO2">
        <f t="shared" ref="DO2:DO9" si="33">IF(AND(ISNUMBER($BS2),ISNUMBER($BR2)),$BS2-$BR2,"NA")</f>
        <v>0</v>
      </c>
      <c r="DP2">
        <f t="shared" ref="DP2:DP9" si="34">IF(AND(ISNUMBER($BU2),ISNUMBER($BT2)),$BU2-$BT2,"NA")</f>
        <v>1</v>
      </c>
      <c r="DQ2">
        <f t="shared" ref="DQ2:DQ9" si="35">IF(AND(ISNUMBER($BV2),ISNUMBER($BU2)),$BV2-$BU2,"NA")</f>
        <v>0</v>
      </c>
      <c r="DR2">
        <f t="shared" ref="DR2:DR9" si="36">IF(AND(ISNUMBER($BX2),ISNUMBER($BW2)),$BX2-$BW2,"NA")</f>
        <v>2</v>
      </c>
      <c r="DS2">
        <f t="shared" ref="DS2:DS9" si="37">IF(AND(ISNUMBER($BY2),ISNUMBER($BX2)),$BY2-$BX2,"NA")</f>
        <v>-1</v>
      </c>
      <c r="DT2">
        <f t="shared" ref="DT2:DT9" si="38">IF(AND(ISNUMBER($CA2),ISNUMBER($BZ2)),$CA2-$BZ2,"NA")</f>
        <v>1</v>
      </c>
      <c r="DU2">
        <f t="shared" ref="DU2:DU9" si="39">IF(AND(ISNUMBER($CB2),ISNUMBER($CA2)),$CB2-$CA2,"NA")</f>
        <v>0</v>
      </c>
      <c r="DV2">
        <f t="shared" ref="DV2:DV9" si="40">IF(AND(ISNUMBER($CD2),ISNUMBER($CC2)),$CD2-$CC2,"NA")</f>
        <v>2</v>
      </c>
      <c r="DW2">
        <f t="shared" ref="DW2:DW9" si="41">IF(AND(ISNUMBER($CE2),ISNUMBER($CD2)),$CE2-$CD2,"NA")</f>
        <v>-1</v>
      </c>
      <c r="DX2">
        <f t="shared" ref="DX2:DX9" si="42">IF(AND(ISNUMBER($CG2),ISNUMBER($CF2)),$CG2-$CF2,"NA")</f>
        <v>1</v>
      </c>
      <c r="DY2">
        <f t="shared" ref="DY2:DY9" si="43">IF(AND(ISNUMBER($CH2),ISNUMBER($CG2)),$CH2-$CG2,"NA")</f>
        <v>-1</v>
      </c>
      <c r="DZ2">
        <f t="shared" ref="DZ2:DZ9" si="44">IF(AND(ISNUMBER($CJ2),ISNUMBER($CI2)),$CJ2-$CI2,"NA")</f>
        <v>1</v>
      </c>
      <c r="EA2">
        <f t="shared" ref="EA2:EA9" si="45">IF(AND(ISNUMBER($CK2),ISNUMBER($CJ2)),$CK2-$CJ2,"NA")</f>
        <v>0</v>
      </c>
      <c r="EB2">
        <f t="shared" ref="EB2:EB9" si="46">IF(AND(ISNUMBER($CM2),ISNUMBER($CL2)),$CM2-$CL2,"NA")</f>
        <v>1</v>
      </c>
      <c r="EC2">
        <f t="shared" ref="EC2:EC9" si="47">IF(AND(ISNUMBER($CN2),ISNUMBER($CM2)),$CN2-$CM2,"NA")</f>
        <v>0</v>
      </c>
      <c r="ED2">
        <f t="shared" ref="ED2:ED9" si="48">IF(AND(ISNUMBER($CP2),ISNUMBER($CO2)),$CP2-$CO2,"NA")</f>
        <v>1</v>
      </c>
      <c r="EE2">
        <f t="shared" ref="EE2:EE9" si="49">IF(AND(ISNUMBER($CQ2),ISNUMBER($CP2)),$CQ2-$CP2,"NA")</f>
        <v>0</v>
      </c>
      <c r="EF2">
        <f t="shared" ref="EF2:EF9" si="50">IF(AND(ISNUMBER($CS2),ISNUMBER($CR2)),$CS2-$CR2,"NA")</f>
        <v>1</v>
      </c>
      <c r="EG2">
        <f t="shared" ref="EG2:EG9" si="51">IF(AND(ISNUMBER($CT2),ISNUMBER($CS2)),$CT2-$CS2,"NA")</f>
        <v>0</v>
      </c>
      <c r="EH2">
        <f t="shared" ref="EH2:EH9" si="52">IF(AND(ISNUMBER($CV2),ISNUMBER($CU2)),$CV2-$CU2,"NA")</f>
        <v>1</v>
      </c>
      <c r="EI2">
        <f t="shared" ref="EI2:EI9" si="53">IF(AND(ISNUMBER($CW2),ISNUMBER($CV2)),$CW2-$CV2,"NA")</f>
        <v>0</v>
      </c>
      <c r="EJ2">
        <f>IF(ISNUMBER(Values!$AU7),--(Values!$AU7&gt;=4),0)</f>
        <v>0</v>
      </c>
      <c r="EK2">
        <f>IF(ISNUMBER(Values!$BY7),--(Values!$BY7&gt;=4),0)</f>
        <v>0</v>
      </c>
      <c r="EL2">
        <f>IF(ISNUMBER(Values!$AN7),--(Values!$AN7&gt;=4),0)</f>
        <v>1</v>
      </c>
      <c r="EM2">
        <f>IF(ISNUMBER(Values!$BR7),--(Values!$BR7&gt;=4),0)</f>
        <v>1</v>
      </c>
      <c r="EN2">
        <f>IF(ISNUMBER(Values!$BC7),--(Values!$BC7&gt;=4),0)</f>
        <v>1</v>
      </c>
      <c r="EO2">
        <f>IF(ISNUMBER(Values!$CG7),--(Values!$CG7&gt;=4),0)</f>
        <v>1</v>
      </c>
      <c r="EP2">
        <f>IF(ISNUMBER(Values!$BJ7),--(Values!$BJ7&gt;=4),0)</f>
        <v>0</v>
      </c>
      <c r="EQ2">
        <f>IF(ISNUMBER(Values!$CN7),--(Values!$CN7&gt;=4),0)</f>
        <v>0</v>
      </c>
      <c r="ER2">
        <f>IF(ISNUMBER(Values!$BG7),--(Values!$BG7&gt;=4),0)</f>
        <v>0</v>
      </c>
      <c r="ES2">
        <f>IF(ISNUMBER(Values!$CK7),--(Values!$CK7&gt;=4),0)</f>
        <v>0</v>
      </c>
      <c r="ET2">
        <f>Values!$ET7</f>
        <v>0</v>
      </c>
      <c r="EU2">
        <f>Values!$FA7</f>
        <v>0</v>
      </c>
      <c r="EV2">
        <f>Values!$FH7</f>
        <v>0</v>
      </c>
      <c r="EW2">
        <f>Values!$EU7</f>
        <v>0</v>
      </c>
      <c r="EX2">
        <f>Values!$FB7</f>
        <v>0</v>
      </c>
      <c r="EY2">
        <f>Values!$FI7</f>
        <v>0</v>
      </c>
      <c r="EZ2">
        <f>Values!$EV7</f>
        <v>1</v>
      </c>
      <c r="FA2">
        <f>Values!$FC7</f>
        <v>1</v>
      </c>
      <c r="FB2">
        <f>Values!$FJ7</f>
        <v>1</v>
      </c>
      <c r="FC2">
        <f>Values!$EW7</f>
        <v>1</v>
      </c>
      <c r="FD2">
        <f>Values!$FD7</f>
        <v>1</v>
      </c>
      <c r="FE2">
        <f>Values!$FK7</f>
        <v>1</v>
      </c>
      <c r="FF2">
        <f>Values!$EX7</f>
        <v>0</v>
      </c>
      <c r="FG2">
        <f>Values!$FE7</f>
        <v>1</v>
      </c>
      <c r="FH2">
        <f>Values!$FL7</f>
        <v>0</v>
      </c>
      <c r="FI2">
        <f>Values!$EY7</f>
        <v>0</v>
      </c>
      <c r="FJ2">
        <f>Values!$FF7</f>
        <v>0</v>
      </c>
      <c r="FK2">
        <f>Values!$FM7</f>
        <v>0</v>
      </c>
      <c r="FL2">
        <f>Values!$EZ7</f>
        <v>1</v>
      </c>
      <c r="FM2">
        <f>Values!$FG7</f>
        <v>1</v>
      </c>
      <c r="FN2">
        <f>Values!$FN7</f>
        <v>1</v>
      </c>
      <c r="FO2">
        <f t="shared" ref="FO2:FO9" si="54">IF(OR($GH2=1,$GI2=1),"NA",--AND($EX2=1,$EW2=0))</f>
        <v>0</v>
      </c>
      <c r="FP2">
        <f t="shared" ref="FP2:FP9" si="55">IF(OR($GH2=1,$GI2=1),"NA",--AND($FA2=1,$EZ2=0))</f>
        <v>0</v>
      </c>
      <c r="FQ2">
        <f t="shared" ref="FQ2:FQ9" si="56">IF(OR($GH2=1,$GI2=1),"NA",--AND($FD2=1,$FC2=0))</f>
        <v>0</v>
      </c>
      <c r="FR2">
        <f t="shared" ref="FR2:FR9" si="57">IF(OR($GH2=1,$GI2=1),"NA",--AND($FG2=1,$FF2=0))</f>
        <v>1</v>
      </c>
      <c r="FS2">
        <f t="shared" ref="FS2:FS9" si="58">IF(OR($GH2=1,$GI2=1),"NA",--AND($FJ2=1,$FI2=0))</f>
        <v>0</v>
      </c>
      <c r="FT2">
        <f t="shared" ref="FT2:FT9" si="59">IF(OR($GH2=1,$GI2=1),"NA",--AND($FM2=1,$FL2=0))</f>
        <v>0</v>
      </c>
      <c r="FU2">
        <f>Values!$FP7</f>
        <v>0</v>
      </c>
      <c r="FV2">
        <f>Values!$FQ7</f>
        <v>0</v>
      </c>
      <c r="FW2">
        <f>Values!$FR7</f>
        <v>0</v>
      </c>
      <c r="FX2">
        <f>Values!$FS7</f>
        <v>1</v>
      </c>
      <c r="FY2">
        <f>Values!$FT7</f>
        <v>1</v>
      </c>
      <c r="FZ2">
        <f>Values!$FU7</f>
        <v>0</v>
      </c>
      <c r="GA2">
        <f t="shared" ref="GA2:GA9" si="60">--AND($FU2=1,$EX2=0)</f>
        <v>0</v>
      </c>
      <c r="GB2">
        <f t="shared" ref="GB2:GB9" si="61">--AND($FV2=1,$FA2=0)</f>
        <v>0</v>
      </c>
      <c r="GC2">
        <f t="shared" ref="GC2:GC9" si="62">--AND($FW2=1,$FD2=0)</f>
        <v>0</v>
      </c>
      <c r="GD2">
        <f t="shared" ref="GD2:GD9" si="63">--AND($FX2=1,$FG2=0)</f>
        <v>0</v>
      </c>
      <c r="GE2">
        <f t="shared" ref="GE2:GE9" si="64">--AND($FY2=1,$FJ2=0)</f>
        <v>1</v>
      </c>
      <c r="GF2">
        <f t="shared" ref="GF2:GF9" si="65">--AND($FZ2=1,$FM2=0)</f>
        <v>0</v>
      </c>
      <c r="GG2">
        <f t="array" ref="GG2">IF(_xlfn.TEXTJOIN(";",TRUE,IF((Values!$B$2:$FU$2="item")*(Values!$B7:$FU7=""),Values!$B$5:$FU$5,""))="",0,_xlfn.TEXTJOIN(";",TRUE,IF((Values!$B$2:$FU$2="item")*(Values!$B7:$FU7=""),Values!$B$5:$FU$5,"")))</f>
        <v>0</v>
      </c>
      <c r="GH2">
        <f t="shared" ref="GH2:GH9" si="66">--AND($ET2=1,SUM($EW2,$EZ2,$FC2,$FF2,$FI2,$FL2)&gt;0)</f>
        <v>0</v>
      </c>
      <c r="GI2">
        <f t="shared" ref="GI2:GI9" si="67">--AND($EU2=1,SUM($EX2,$FA2,$FD2,$FG2,$FJ2,$FM2)&gt;0)</f>
        <v>0</v>
      </c>
      <c r="GJ2">
        <f t="shared" ref="GJ2:GJ9" si="68">--AND($EV2=1,SUM($EY2,$FB2,$FE2,$FH2,$FK2,$FN2)&gt;0)</f>
        <v>0</v>
      </c>
      <c r="GK2">
        <f t="shared" ref="GK2:GK9" si="69">--AND($EU2=1,$GI2=0)</f>
        <v>0</v>
      </c>
      <c r="GL2">
        <f>Pattern!$W2</f>
        <v>0</v>
      </c>
      <c r="GM2">
        <f>Pattern!$AS2</f>
        <v>0</v>
      </c>
      <c r="GN2">
        <f>Pattern!$BO2</f>
        <v>0</v>
      </c>
      <c r="GO2">
        <f>Pattern!$BQ2</f>
        <v>0</v>
      </c>
      <c r="GP2">
        <f>Pattern!$S2</f>
        <v>1</v>
      </c>
      <c r="GQ2">
        <f>Pattern!$AO2</f>
        <v>2</v>
      </c>
      <c r="GR2">
        <f>Pattern!$BK2</f>
        <v>4</v>
      </c>
      <c r="GS2">
        <f>Pattern!$V2</f>
        <v>0.35294117647058826</v>
      </c>
      <c r="GT2">
        <f>Pattern!$AR2</f>
        <v>0.26666666666666666</v>
      </c>
      <c r="GU2">
        <f>Pattern!$BN2</f>
        <v>0.33333333333333331</v>
      </c>
      <c r="GV2">
        <f>Pattern!$T2</f>
        <v>1</v>
      </c>
      <c r="GW2">
        <f>Pattern!$AP2</f>
        <v>1</v>
      </c>
      <c r="GX2">
        <f>Pattern!$BL2</f>
        <v>1</v>
      </c>
      <c r="GY2">
        <f>Pattern!$BP2</f>
        <v>15</v>
      </c>
      <c r="GZ2">
        <f>Values!$X7</f>
        <v>5</v>
      </c>
      <c r="HA2">
        <f>Values!$AC7</f>
        <v>5</v>
      </c>
      <c r="HB2">
        <f>Values!$K7</f>
        <v>1</v>
      </c>
      <c r="HC2">
        <f>Values!$G7</f>
        <v>4</v>
      </c>
      <c r="HD2">
        <f>Values!$AA7</f>
        <v>2</v>
      </c>
      <c r="HE2">
        <f>Values!$S7</f>
        <v>4</v>
      </c>
      <c r="HF2">
        <f>Values!$Y7</f>
        <v>5</v>
      </c>
      <c r="HG2">
        <f>Values!$AE7</f>
        <v>5</v>
      </c>
      <c r="HH2">
        <f>Values!$N7</f>
        <v>2</v>
      </c>
      <c r="HI2">
        <f>Values!$I7</f>
        <v>2</v>
      </c>
      <c r="HJ2">
        <f>Values!$M7</f>
        <v>2</v>
      </c>
      <c r="HK2">
        <f>Values!$AB7</f>
        <v>2</v>
      </c>
      <c r="HL2">
        <f>Values!$Q7</f>
        <v>2</v>
      </c>
      <c r="HM2">
        <f>Values!$T7</f>
        <v>1</v>
      </c>
      <c r="HN2">
        <f>Values!$W7</f>
        <v>4</v>
      </c>
      <c r="HO2">
        <f>Values!$H7</f>
        <v>1</v>
      </c>
      <c r="HP2">
        <f>Values!$L7</f>
        <v>1</v>
      </c>
      <c r="HQ2">
        <f>Values!$O7</f>
        <v>1</v>
      </c>
      <c r="HR2">
        <f>Values!$R7</f>
        <v>5</v>
      </c>
      <c r="HS2">
        <f>Values!$U7</f>
        <v>1</v>
      </c>
      <c r="HT2">
        <f>Values!$Z7</f>
        <v>4</v>
      </c>
      <c r="HU2">
        <f>Values!$AF7</f>
        <v>2</v>
      </c>
      <c r="HV2">
        <f>Values!$AD7</f>
        <v>4</v>
      </c>
      <c r="HW2">
        <f>Values!$J7</f>
        <v>3</v>
      </c>
      <c r="HX2">
        <f>Values!$P7</f>
        <v>3</v>
      </c>
      <c r="HY2">
        <f>Values!$V7</f>
        <v>3</v>
      </c>
      <c r="HZ2">
        <f>Values!$AG7</f>
        <v>4</v>
      </c>
      <c r="IA2">
        <f>Values!$BK7</f>
        <v>4</v>
      </c>
      <c r="IB2">
        <f>Values!$AO7</f>
        <v>4</v>
      </c>
      <c r="IC2">
        <f>Values!$BS7</f>
        <v>4</v>
      </c>
      <c r="ID2">
        <f>Values!$BB7</f>
        <v>1</v>
      </c>
      <c r="IE2">
        <f>Values!$CF7</f>
        <v>1</v>
      </c>
      <c r="IF2">
        <f>Values!$AH7</f>
        <v>5</v>
      </c>
      <c r="IG2">
        <f>Values!$BL7</f>
        <v>4</v>
      </c>
      <c r="IH2">
        <f>Values!$AS7</f>
        <v>1</v>
      </c>
      <c r="II2">
        <f>Values!$BW7</f>
        <v>2</v>
      </c>
      <c r="IJ2">
        <f>Values!$BA7</f>
        <v>4</v>
      </c>
      <c r="IK2">
        <f>Values!$CE7</f>
        <v>3</v>
      </c>
      <c r="IL2">
        <f>Values!$AM7</f>
        <v>4</v>
      </c>
      <c r="IM2">
        <f>Values!$BQ7</f>
        <v>5</v>
      </c>
      <c r="IN2">
        <f>Values!$AV7</f>
        <v>5</v>
      </c>
      <c r="IO2">
        <f>Values!$BZ7</f>
        <v>4</v>
      </c>
      <c r="IP2">
        <f>Values!$BF7</f>
        <v>2</v>
      </c>
      <c r="IQ2">
        <f>Values!$CJ7</f>
        <v>2</v>
      </c>
      <c r="IR2">
        <f>Values!$AJ7</f>
        <v>1</v>
      </c>
      <c r="IS2">
        <f>Values!$BN7</f>
        <v>3</v>
      </c>
      <c r="IT2">
        <f>Values!$AQ7</f>
        <v>2</v>
      </c>
      <c r="IU2">
        <f>Values!$BU7</f>
        <v>2</v>
      </c>
      <c r="IV2">
        <f>Values!$AX7</f>
        <v>2</v>
      </c>
      <c r="IW2">
        <f>Values!$CB7</f>
        <v>3</v>
      </c>
      <c r="IX2">
        <f>Values!$BE7</f>
        <v>2</v>
      </c>
      <c r="IY2">
        <f>Values!$CI7</f>
        <v>2</v>
      </c>
      <c r="IZ2">
        <f>Values!$BI7</f>
        <v>5</v>
      </c>
      <c r="JA2">
        <f>Values!$CM7</f>
        <v>4</v>
      </c>
      <c r="JB2">
        <f>Values!$AI7</f>
        <v>2</v>
      </c>
      <c r="JC2">
        <f>Values!$BM7</f>
        <v>2</v>
      </c>
      <c r="JD2">
        <f>Values!$AP7</f>
        <v>3</v>
      </c>
      <c r="JE2">
        <f>Values!$BT7</f>
        <v>2</v>
      </c>
      <c r="JF2">
        <f>Values!$AW7</f>
        <v>2</v>
      </c>
      <c r="JG2">
        <f>Values!$CA7</f>
        <v>3</v>
      </c>
      <c r="JH2">
        <f>Values!$BD7</f>
        <v>5</v>
      </c>
      <c r="JI2">
        <f>Values!$CH7</f>
        <v>3</v>
      </c>
      <c r="JJ2">
        <f>Values!$BH7</f>
        <v>2</v>
      </c>
      <c r="JK2">
        <f>Values!$CL7</f>
        <v>2</v>
      </c>
      <c r="JL2">
        <f>Values!$AK7</f>
        <v>5</v>
      </c>
      <c r="JM2">
        <f>Values!$BO7</f>
        <v>4</v>
      </c>
      <c r="JN2">
        <f>Values!$AR7</f>
        <v>1</v>
      </c>
      <c r="JO2">
        <f>Values!$BV7</f>
        <v>2</v>
      </c>
      <c r="JP2">
        <f>Values!$AY7</f>
        <v>4</v>
      </c>
      <c r="JQ2">
        <f>Values!$CC7</f>
        <v>4</v>
      </c>
      <c r="JR2">
        <f>Values!$AL7</f>
        <v>3</v>
      </c>
      <c r="JS2">
        <f>Values!$BP7</f>
        <v>3</v>
      </c>
      <c r="JT2">
        <f>Values!$AT7</f>
        <v>3</v>
      </c>
      <c r="JU2">
        <f>Values!$BX7</f>
        <v>2</v>
      </c>
      <c r="JV2">
        <f>Values!$AZ7</f>
        <v>3</v>
      </c>
      <c r="JW2">
        <f>Values!$CD7</f>
        <v>3</v>
      </c>
      <c r="JX2">
        <f>Values!$AU7</f>
        <v>1</v>
      </c>
      <c r="JY2">
        <f>Values!$BY7</f>
        <v>1</v>
      </c>
      <c r="JZ2">
        <f>Values!$AN7</f>
        <v>5</v>
      </c>
      <c r="KA2">
        <f>Values!$BR7</f>
        <v>4</v>
      </c>
      <c r="KB2">
        <f>Values!$BC7</f>
        <v>5</v>
      </c>
      <c r="KC2">
        <f>Values!$CG7</f>
        <v>5</v>
      </c>
      <c r="KD2">
        <f>Values!$BJ7</f>
        <v>1</v>
      </c>
      <c r="KE2">
        <f>Values!$CN7</f>
        <v>1</v>
      </c>
      <c r="KF2">
        <f>Values!$BG7</f>
        <v>2</v>
      </c>
      <c r="KG2">
        <f>Values!$CK7</f>
        <v>2</v>
      </c>
    </row>
    <row r="3" spans="1:293" x14ac:dyDescent="0.45">
      <c r="A3">
        <f t="shared" si="0"/>
        <v>1</v>
      </c>
      <c r="B3" t="str">
        <f>Values!$A$8</f>
        <v>Tom Lindqvist</v>
      </c>
      <c r="C3" t="str">
        <f>TEXT(Responses!$C$3,"yyyy-mm-dd")</f>
        <v>2026-09-14</v>
      </c>
      <c r="D3">
        <f t="shared" si="1"/>
        <v>9</v>
      </c>
      <c r="E3">
        <f>Values!$B8</f>
        <v>2</v>
      </c>
      <c r="F3">
        <f>Values!$C8</f>
        <v>2</v>
      </c>
      <c r="G3">
        <f>Values!$D8</f>
        <v>1</v>
      </c>
      <c r="H3">
        <f>Values!$E8</f>
        <v>1</v>
      </c>
      <c r="I3">
        <f>Values!$F8</f>
        <v>1</v>
      </c>
      <c r="J3">
        <f>IF(COUNT(Values!$X8,Values!$AC8,Values!$K8)&lt;3,NA(),AVERAGE(Values!$X8,Values!$AC8,6-Values!$K8))</f>
        <v>2.3333333333333335</v>
      </c>
      <c r="K3">
        <f>IF(COUNT(Values!$AG8,Values!$AO8,Values!$BB8)&lt;3,NA(),AVERAGE(Values!$AG8,Values!$AO8,6-Values!$BB8))</f>
        <v>2</v>
      </c>
      <c r="L3">
        <f>IF(COUNT(Values!$BK8,Values!$BS8,Values!$CF8)&lt;3,NA(),AVERAGE(Values!$BK8,Values!$BS8,6-Values!$CF8))</f>
        <v>2.6666666666666665</v>
      </c>
      <c r="M3">
        <f>IF(COUNT(Values!$G8,Values!$AA8,Values!$S8)&lt;3,NA(),AVERAGE(Values!$G8,6-Values!$AA8,Values!$S8))</f>
        <v>1.3333333333333333</v>
      </c>
      <c r="N3">
        <f>IF(COUNT(Values!$AH8,Values!$AS8,Values!$BA8)&lt;3,NA(),AVERAGE(Values!$AH8,6-Values!$AS8,Values!$BA8))</f>
        <v>1.3333333333333333</v>
      </c>
      <c r="O3">
        <f>IF(COUNT(Values!$BL8,Values!$BW8,Values!$CE8)&lt;3,NA(),AVERAGE(Values!$BL8,6-Values!$BW8,Values!$CE8))</f>
        <v>2</v>
      </c>
      <c r="P3">
        <f>IF(COUNT(Values!$Y8,Values!$AE8,Values!$N8)&lt;3,NA(),AVERAGE(Values!$Y8,Values!$AE8,6-Values!$N8))</f>
        <v>2.3333333333333335</v>
      </c>
      <c r="Q3">
        <f>IF(COUNT(Values!$AM8,Values!$AV8,Values!$BF8)&lt;3,NA(),AVERAGE(Values!$AM8,Values!$AV8,6-Values!$BF8))</f>
        <v>3.3333333333333335</v>
      </c>
      <c r="R3">
        <f>IF(COUNT(Values!$BQ8,Values!$BZ8,Values!$CJ8)&lt;3,NA(),AVERAGE(Values!$BQ8,Values!$BZ8,6-Values!$CJ8))</f>
        <v>3.3333333333333335</v>
      </c>
      <c r="S3">
        <f>IF(COUNT(Values!$I8,Values!$M8,Values!$AB8,Values!$Q8,Values!$T8,Values!$W8)&lt;6,NA(),AVERAGE(Values!$I8,AVERAGE(Values!$M8,Values!$AB8),Values!$Q8,Values!$T8,6-Values!$W8))</f>
        <v>4.2</v>
      </c>
      <c r="T3">
        <f>IF(COUNT(Values!$AJ8,Values!$AQ8,Values!$AX8,Values!$BE8,Values!$BI8)&lt;5,NA(),AVERAGE(Values!$AJ8,Values!$AQ8,Values!$AX8,Values!$BE8,6-Values!$BI8))</f>
        <v>4.5999999999999996</v>
      </c>
      <c r="U3">
        <f>IF(COUNT(Values!$BN8,Values!$BU8,Values!$CB8,Values!$CI8,Values!$CM8)&lt;5,NA(),AVERAGE(Values!$BN8,Values!$BU8,Values!$CB8,Values!$CI8,6-Values!$CM8))</f>
        <v>4.5999999999999996</v>
      </c>
      <c r="V3">
        <f>IF(COUNT(Values!$H8,Values!$L8,Values!$O8,Values!$R8,Values!$U8)&lt;5,NA(),AVERAGE(Values!$H8,Values!$L8,Values!$O8,6-Values!$R8,Values!$U8))</f>
        <v>4.4000000000000004</v>
      </c>
      <c r="W3">
        <f>IF(COUNT(Values!$AI8,Values!$AP8,Values!$AW8,Values!$BD8,Values!$BH8)&lt;5,NA(),AVERAGE(Values!$AI8,Values!$AP8,Values!$AW8,6-Values!$BD8,Values!$BH8))</f>
        <v>4.5999999999999996</v>
      </c>
      <c r="X3">
        <f>IF(COUNT(Values!$BM8,Values!$BT8,Values!$CA8,Values!$CH8,Values!$CL8)&lt;5,NA(),AVERAGE(Values!$BM8,Values!$BT8,Values!$CA8,6-Values!$CH8,Values!$CL8))</f>
        <v>4.2</v>
      </c>
      <c r="Y3">
        <f>IF(COUNT(Values!$Z8,Values!$AF8,Values!$AD8)&lt;3,NA(),AVERAGE(Values!$Z8,6-Values!$AF8,Values!$AD8))</f>
        <v>1.3333333333333333</v>
      </c>
      <c r="Z3">
        <f>IF(COUNT(Values!$AK8,Values!$AR8,Values!$AY8)&lt;3,NA(),AVERAGE(Values!$AK8,6-Values!$AR8,Values!$AY8))</f>
        <v>1.6666666666666667</v>
      </c>
      <c r="AA3">
        <f>IF(COUNT(Values!$BO8,Values!$BV8,Values!$CC8)&lt;3,NA(),AVERAGE(Values!$BO8,6-Values!$BV8,Values!$CC8))</f>
        <v>2.3333333333333335</v>
      </c>
      <c r="AB3">
        <f>IF(COUNT(Values!$J8,Values!$P8,Values!$V8)&lt;3,NA(),AVERAGE(Values!$J8,6-Values!$P8,Values!$V8))</f>
        <v>5</v>
      </c>
      <c r="AC3">
        <f>IF(COUNT(Values!$AL8,Values!$AT8,Values!$AZ8)&lt;3,NA(),AVERAGE(Values!$AL8,6-Values!$AT8,Values!$AZ8))</f>
        <v>4.666666666666667</v>
      </c>
      <c r="AD3">
        <f>IF(COUNT(Values!$BP8,Values!$BX8,Values!$CD8)&lt;3,NA(),AVERAGE(Values!$BP8,6-Values!$BX8,Values!$CD8))</f>
        <v>4.666666666666667</v>
      </c>
      <c r="AE3">
        <f t="shared" si="2"/>
        <v>-0.33333333333333348</v>
      </c>
      <c r="AF3">
        <f t="shared" si="3"/>
        <v>0.66666666666666652</v>
      </c>
      <c r="AG3">
        <f t="shared" si="4"/>
        <v>0</v>
      </c>
      <c r="AH3">
        <f t="shared" si="5"/>
        <v>0.66666666666666674</v>
      </c>
      <c r="AI3">
        <f t="shared" si="6"/>
        <v>1</v>
      </c>
      <c r="AJ3">
        <f t="shared" si="7"/>
        <v>0</v>
      </c>
      <c r="AK3">
        <f t="shared" si="8"/>
        <v>0.39999999999999947</v>
      </c>
      <c r="AL3">
        <f t="shared" si="9"/>
        <v>0</v>
      </c>
      <c r="AM3">
        <f t="shared" si="10"/>
        <v>0.19999999999999929</v>
      </c>
      <c r="AN3">
        <f t="shared" si="11"/>
        <v>-0.39999999999999947</v>
      </c>
      <c r="AO3">
        <f t="shared" si="12"/>
        <v>0.33333333333333348</v>
      </c>
      <c r="AP3">
        <f t="shared" si="13"/>
        <v>0.66666666666666674</v>
      </c>
      <c r="AQ3">
        <f t="shared" si="14"/>
        <v>-0.33333333333333304</v>
      </c>
      <c r="AR3">
        <f t="shared" si="15"/>
        <v>0</v>
      </c>
      <c r="AS3">
        <f>Values!$CO8</f>
        <v>2</v>
      </c>
      <c r="AT3">
        <f>Values!$DH8</f>
        <v>2</v>
      </c>
      <c r="AU3">
        <f>Values!$EA8</f>
        <v>2</v>
      </c>
      <c r="AV3">
        <f>Values!$CP8</f>
        <v>1</v>
      </c>
      <c r="AW3">
        <f>Values!$DI8</f>
        <v>1</v>
      </c>
      <c r="AX3">
        <f>Values!$EB8</f>
        <v>1</v>
      </c>
      <c r="AY3">
        <f>Values!$CQ8</f>
        <v>2</v>
      </c>
      <c r="AZ3">
        <f>Values!$DJ8</f>
        <v>2</v>
      </c>
      <c r="BA3">
        <f>Values!$EC8</f>
        <v>2</v>
      </c>
      <c r="BB3">
        <f>Values!$CR8</f>
        <v>2</v>
      </c>
      <c r="BC3">
        <f>Values!$DK8</f>
        <v>2</v>
      </c>
      <c r="BD3">
        <f>Values!$ED8</f>
        <v>2</v>
      </c>
      <c r="BE3">
        <f>Values!$CS8</f>
        <v>2</v>
      </c>
      <c r="BF3">
        <f>Values!$DL8</f>
        <v>2</v>
      </c>
      <c r="BG3">
        <f>Values!$EE8</f>
        <v>2</v>
      </c>
      <c r="BH3">
        <f>Values!$CT8</f>
        <v>2</v>
      </c>
      <c r="BI3">
        <f>Values!$DM8</f>
        <v>2</v>
      </c>
      <c r="BJ3">
        <f>Values!$EF8</f>
        <v>3</v>
      </c>
      <c r="BK3">
        <f>Values!$CU8</f>
        <v>3</v>
      </c>
      <c r="BL3">
        <f>Values!$DN8</f>
        <v>3</v>
      </c>
      <c r="BM3">
        <f>Values!$EG8</f>
        <v>3</v>
      </c>
      <c r="BN3">
        <f>Values!$CV8</f>
        <v>1</v>
      </c>
      <c r="BO3">
        <f>Values!$DO8</f>
        <v>1</v>
      </c>
      <c r="BP3">
        <f>Values!$EH8</f>
        <v>1</v>
      </c>
      <c r="BQ3">
        <f>Values!$CW8</f>
        <v>1</v>
      </c>
      <c r="BR3">
        <f>Values!$DP8</f>
        <v>1</v>
      </c>
      <c r="BS3">
        <f>Values!$EI8</f>
        <v>1</v>
      </c>
      <c r="BT3" t="str">
        <f>Values!$CX8</f>
        <v>NA</v>
      </c>
      <c r="BU3" t="str">
        <f>Values!$DQ8</f>
        <v>NA</v>
      </c>
      <c r="BV3" t="str">
        <f>Values!$EJ8</f>
        <v>NA</v>
      </c>
      <c r="BW3" t="str">
        <f>Values!$CY8</f>
        <v>NA</v>
      </c>
      <c r="BX3" t="str">
        <f>Values!$DR8</f>
        <v>NA</v>
      </c>
      <c r="BY3" t="str">
        <f>Values!$EK8</f>
        <v>NA</v>
      </c>
      <c r="BZ3">
        <f>Values!$CZ8</f>
        <v>2</v>
      </c>
      <c r="CA3">
        <f>Values!$DS8</f>
        <v>2</v>
      </c>
      <c r="CB3">
        <f>Values!$EL8</f>
        <v>2</v>
      </c>
      <c r="CC3">
        <f>Values!$DA8</f>
        <v>1</v>
      </c>
      <c r="CD3">
        <f>Values!$DT8</f>
        <v>2</v>
      </c>
      <c r="CE3">
        <f>Values!$EM8</f>
        <v>1</v>
      </c>
      <c r="CF3">
        <f>Values!$DB8</f>
        <v>2</v>
      </c>
      <c r="CG3">
        <f>Values!$DU8</f>
        <v>2</v>
      </c>
      <c r="CH3">
        <f>Values!$EN8</f>
        <v>3</v>
      </c>
      <c r="CI3">
        <f>Values!$DC8</f>
        <v>3</v>
      </c>
      <c r="CJ3">
        <f>Values!$DV8</f>
        <v>4</v>
      </c>
      <c r="CK3">
        <f>Values!$EO8</f>
        <v>3</v>
      </c>
      <c r="CL3">
        <f>Values!$DD8</f>
        <v>2</v>
      </c>
      <c r="CM3">
        <f>Values!$DW8</f>
        <v>2</v>
      </c>
      <c r="CN3">
        <f>Values!$EP8</f>
        <v>3</v>
      </c>
      <c r="CO3">
        <f>Values!$DE8</f>
        <v>2</v>
      </c>
      <c r="CP3">
        <f>Values!$DX8</f>
        <v>3</v>
      </c>
      <c r="CQ3">
        <f>Values!$EQ8</f>
        <v>2</v>
      </c>
      <c r="CR3">
        <f>Values!$DF8</f>
        <v>3</v>
      </c>
      <c r="CS3">
        <f>Values!$DY8</f>
        <v>3</v>
      </c>
      <c r="CT3">
        <f>Values!$ER8</f>
        <v>3</v>
      </c>
      <c r="CU3">
        <f>Values!$DG8</f>
        <v>2</v>
      </c>
      <c r="CV3">
        <f>Values!$DZ8</f>
        <v>2</v>
      </c>
      <c r="CW3">
        <f>Values!$ES8</f>
        <v>3</v>
      </c>
      <c r="CX3">
        <f t="shared" si="16"/>
        <v>0</v>
      </c>
      <c r="CY3">
        <f t="shared" si="17"/>
        <v>0</v>
      </c>
      <c r="CZ3">
        <f t="shared" si="18"/>
        <v>0</v>
      </c>
      <c r="DA3">
        <f t="shared" si="19"/>
        <v>0</v>
      </c>
      <c r="DB3">
        <f t="shared" si="20"/>
        <v>0</v>
      </c>
      <c r="DC3">
        <f t="shared" si="21"/>
        <v>0</v>
      </c>
      <c r="DD3">
        <f t="shared" si="22"/>
        <v>0</v>
      </c>
      <c r="DE3">
        <f t="shared" si="23"/>
        <v>0</v>
      </c>
      <c r="DF3">
        <f t="shared" si="24"/>
        <v>0</v>
      </c>
      <c r="DG3">
        <f t="shared" si="25"/>
        <v>0</v>
      </c>
      <c r="DH3">
        <f t="shared" si="26"/>
        <v>0</v>
      </c>
      <c r="DI3">
        <f t="shared" si="27"/>
        <v>1</v>
      </c>
      <c r="DJ3">
        <f t="shared" si="28"/>
        <v>0</v>
      </c>
      <c r="DK3">
        <f t="shared" si="29"/>
        <v>0</v>
      </c>
      <c r="DL3">
        <f t="shared" si="30"/>
        <v>0</v>
      </c>
      <c r="DM3">
        <f t="shared" si="31"/>
        <v>0</v>
      </c>
      <c r="DN3">
        <f t="shared" si="32"/>
        <v>0</v>
      </c>
      <c r="DO3">
        <f t="shared" si="33"/>
        <v>0</v>
      </c>
      <c r="DP3" t="str">
        <f t="shared" si="34"/>
        <v>NA</v>
      </c>
      <c r="DQ3" t="str">
        <f t="shared" si="35"/>
        <v>NA</v>
      </c>
      <c r="DR3" t="str">
        <f t="shared" si="36"/>
        <v>NA</v>
      </c>
      <c r="DS3" t="str">
        <f t="shared" si="37"/>
        <v>NA</v>
      </c>
      <c r="DT3">
        <f t="shared" si="38"/>
        <v>0</v>
      </c>
      <c r="DU3">
        <f t="shared" si="39"/>
        <v>0</v>
      </c>
      <c r="DV3">
        <f t="shared" si="40"/>
        <v>1</v>
      </c>
      <c r="DW3">
        <f t="shared" si="41"/>
        <v>-1</v>
      </c>
      <c r="DX3">
        <f t="shared" si="42"/>
        <v>0</v>
      </c>
      <c r="DY3">
        <f t="shared" si="43"/>
        <v>1</v>
      </c>
      <c r="DZ3">
        <f t="shared" si="44"/>
        <v>1</v>
      </c>
      <c r="EA3">
        <f t="shared" si="45"/>
        <v>-1</v>
      </c>
      <c r="EB3">
        <f t="shared" si="46"/>
        <v>0</v>
      </c>
      <c r="EC3">
        <f t="shared" si="47"/>
        <v>1</v>
      </c>
      <c r="ED3">
        <f t="shared" si="48"/>
        <v>1</v>
      </c>
      <c r="EE3">
        <f t="shared" si="49"/>
        <v>-1</v>
      </c>
      <c r="EF3">
        <f t="shared" si="50"/>
        <v>0</v>
      </c>
      <c r="EG3">
        <f t="shared" si="51"/>
        <v>0</v>
      </c>
      <c r="EH3">
        <f t="shared" si="52"/>
        <v>0</v>
      </c>
      <c r="EI3">
        <f t="shared" si="53"/>
        <v>1</v>
      </c>
      <c r="EJ3">
        <f>IF(ISNUMBER(Values!$AU8),--(Values!$AU8&gt;=4),0)</f>
        <v>1</v>
      </c>
      <c r="EK3">
        <f>IF(ISNUMBER(Values!$BY8),--(Values!$BY8&gt;=4),0)</f>
        <v>0</v>
      </c>
      <c r="EL3">
        <f>IF(ISNUMBER(Values!$AN8),--(Values!$AN8&gt;=4),0)</f>
        <v>0</v>
      </c>
      <c r="EM3">
        <f>IF(ISNUMBER(Values!$BR8),--(Values!$BR8&gt;=4),0)</f>
        <v>0</v>
      </c>
      <c r="EN3">
        <f>IF(ISNUMBER(Values!$BC8),--(Values!$BC8&gt;=4),0)</f>
        <v>0</v>
      </c>
      <c r="EO3">
        <f>IF(ISNUMBER(Values!$CG8),--(Values!$CG8&gt;=4),0)</f>
        <v>0</v>
      </c>
      <c r="EP3">
        <f>IF(ISNUMBER(Values!$BJ8),--(Values!$BJ8&gt;=4),0)</f>
        <v>1</v>
      </c>
      <c r="EQ3">
        <f>IF(ISNUMBER(Values!$CN8),--(Values!$CN8&gt;=4),0)</f>
        <v>1</v>
      </c>
      <c r="ER3">
        <f>IF(ISNUMBER(Values!$BG8),--(Values!$BG8&gt;=4),0)</f>
        <v>1</v>
      </c>
      <c r="ES3">
        <f>IF(ISNUMBER(Values!$CK8),--(Values!$CK8&gt;=4),0)</f>
        <v>1</v>
      </c>
      <c r="ET3">
        <f>Values!$ET8</f>
        <v>1</v>
      </c>
      <c r="EU3">
        <f>Values!$FA8</f>
        <v>1</v>
      </c>
      <c r="EV3">
        <f>Values!$FH8</f>
        <v>1</v>
      </c>
      <c r="EW3">
        <f>Values!$EU8</f>
        <v>0</v>
      </c>
      <c r="EX3">
        <f>Values!$FB8</f>
        <v>0</v>
      </c>
      <c r="EY3">
        <f>Values!$FI8</f>
        <v>0</v>
      </c>
      <c r="EZ3">
        <f>Values!$EV8</f>
        <v>0</v>
      </c>
      <c r="FA3">
        <f>Values!$FC8</f>
        <v>0</v>
      </c>
      <c r="FB3">
        <f>Values!$FJ8</f>
        <v>0</v>
      </c>
      <c r="FC3">
        <f>Values!$EW8</f>
        <v>0</v>
      </c>
      <c r="FD3">
        <f>Values!$FD8</f>
        <v>0</v>
      </c>
      <c r="FE3">
        <f>Values!$FK8</f>
        <v>0</v>
      </c>
      <c r="FF3">
        <f>Values!$EX8</f>
        <v>0</v>
      </c>
      <c r="FG3">
        <f>Values!$FE8</f>
        <v>0</v>
      </c>
      <c r="FH3">
        <f>Values!$FL8</f>
        <v>0</v>
      </c>
      <c r="FI3">
        <f>Values!$EY8</f>
        <v>0</v>
      </c>
      <c r="FJ3">
        <f>Values!$FF8</f>
        <v>0</v>
      </c>
      <c r="FK3">
        <f>Values!$FM8</f>
        <v>0</v>
      </c>
      <c r="FL3">
        <f>Values!$EZ8</f>
        <v>0</v>
      </c>
      <c r="FM3">
        <f>Values!$FG8</f>
        <v>0</v>
      </c>
      <c r="FN3">
        <f>Values!$FN8</f>
        <v>0</v>
      </c>
      <c r="FO3">
        <f t="shared" si="54"/>
        <v>0</v>
      </c>
      <c r="FP3">
        <f t="shared" si="55"/>
        <v>0</v>
      </c>
      <c r="FQ3">
        <f t="shared" si="56"/>
        <v>0</v>
      </c>
      <c r="FR3">
        <f t="shared" si="57"/>
        <v>0</v>
      </c>
      <c r="FS3">
        <f t="shared" si="58"/>
        <v>0</v>
      </c>
      <c r="FT3">
        <f t="shared" si="59"/>
        <v>0</v>
      </c>
      <c r="FU3">
        <f>Values!$FP8</f>
        <v>0</v>
      </c>
      <c r="FV3">
        <f>Values!$FQ8</f>
        <v>0</v>
      </c>
      <c r="FW3">
        <f>Values!$FR8</f>
        <v>0</v>
      </c>
      <c r="FX3">
        <f>Values!$FS8</f>
        <v>1</v>
      </c>
      <c r="FY3">
        <f>Values!$FT8</f>
        <v>0</v>
      </c>
      <c r="FZ3">
        <f>Values!$FU8</f>
        <v>0</v>
      </c>
      <c r="GA3">
        <f t="shared" si="60"/>
        <v>0</v>
      </c>
      <c r="GB3">
        <f t="shared" si="61"/>
        <v>0</v>
      </c>
      <c r="GC3">
        <f t="shared" si="62"/>
        <v>0</v>
      </c>
      <c r="GD3">
        <f t="shared" si="63"/>
        <v>1</v>
      </c>
      <c r="GE3">
        <f t="shared" si="64"/>
        <v>0</v>
      </c>
      <c r="GF3">
        <f t="shared" si="65"/>
        <v>0</v>
      </c>
      <c r="GG3">
        <f t="array" ref="GG3">IF(_xlfn.TEXTJOIN(";",TRUE,IF((Values!$B$2:$FU$2="item")*(Values!$B8:$FU8=""),Values!$B$5:$FU$5,""))="",0,_xlfn.TEXTJOIN(";",TRUE,IF((Values!$B$2:$FU$2="item")*(Values!$B8:$FU8=""),Values!$B$5:$FU$5,"")))</f>
        <v>0</v>
      </c>
      <c r="GH3">
        <f t="shared" si="66"/>
        <v>0</v>
      </c>
      <c r="GI3">
        <f t="shared" si="67"/>
        <v>0</v>
      </c>
      <c r="GJ3">
        <f t="shared" si="68"/>
        <v>0</v>
      </c>
      <c r="GK3">
        <f t="shared" si="69"/>
        <v>1</v>
      </c>
      <c r="GL3">
        <f>Pattern!$W3</f>
        <v>0</v>
      </c>
      <c r="GM3">
        <f>Pattern!$AS3</f>
        <v>0</v>
      </c>
      <c r="GN3">
        <f>Pattern!$BO3</f>
        <v>0</v>
      </c>
      <c r="GO3">
        <f>Pattern!$BQ3</f>
        <v>0</v>
      </c>
      <c r="GP3">
        <f>Pattern!$S3</f>
        <v>5</v>
      </c>
      <c r="GQ3">
        <f>Pattern!$AO3</f>
        <v>5</v>
      </c>
      <c r="GR3">
        <f>Pattern!$BK3</f>
        <v>4</v>
      </c>
      <c r="GS3">
        <f>Pattern!$V3</f>
        <v>0.35294117647058826</v>
      </c>
      <c r="GT3">
        <f>Pattern!$AR3</f>
        <v>0.3</v>
      </c>
      <c r="GU3">
        <f>Pattern!$BN3</f>
        <v>0.33333333333333331</v>
      </c>
      <c r="GV3">
        <f>Pattern!$T3</f>
        <v>0</v>
      </c>
      <c r="GW3">
        <f>Pattern!$AP3</f>
        <v>1</v>
      </c>
      <c r="GX3">
        <f>Pattern!$BL3</f>
        <v>2</v>
      </c>
      <c r="GY3">
        <f>Pattern!$BP3</f>
        <v>14</v>
      </c>
      <c r="GZ3">
        <f>Values!$X8</f>
        <v>2</v>
      </c>
      <c r="HA3">
        <f>Values!$AC8</f>
        <v>2</v>
      </c>
      <c r="HB3">
        <f>Values!$K8</f>
        <v>3</v>
      </c>
      <c r="HC3">
        <f>Values!$G8</f>
        <v>1</v>
      </c>
      <c r="HD3">
        <f>Values!$AA8</f>
        <v>5</v>
      </c>
      <c r="HE3">
        <f>Values!$S8</f>
        <v>2</v>
      </c>
      <c r="HF3">
        <f>Values!$Y8</f>
        <v>2</v>
      </c>
      <c r="HG3">
        <f>Values!$AE8</f>
        <v>3</v>
      </c>
      <c r="HH3">
        <f>Values!$N8</f>
        <v>4</v>
      </c>
      <c r="HI3">
        <f>Values!$I8</f>
        <v>5</v>
      </c>
      <c r="HJ3">
        <f>Values!$M8</f>
        <v>4</v>
      </c>
      <c r="HK3">
        <f>Values!$AB8</f>
        <v>4</v>
      </c>
      <c r="HL3">
        <f>Values!$Q8</f>
        <v>4</v>
      </c>
      <c r="HM3">
        <f>Values!$T8</f>
        <v>4</v>
      </c>
      <c r="HN3">
        <f>Values!$W8</f>
        <v>2</v>
      </c>
      <c r="HO3">
        <f>Values!$H8</f>
        <v>4</v>
      </c>
      <c r="HP3">
        <f>Values!$L8</f>
        <v>5</v>
      </c>
      <c r="HQ3">
        <f>Values!$O8</f>
        <v>4</v>
      </c>
      <c r="HR3">
        <f>Values!$R8</f>
        <v>2</v>
      </c>
      <c r="HS3">
        <f>Values!$U8</f>
        <v>5</v>
      </c>
      <c r="HT3">
        <f>Values!$Z8</f>
        <v>2</v>
      </c>
      <c r="HU3">
        <f>Values!$AF8</f>
        <v>5</v>
      </c>
      <c r="HV3">
        <f>Values!$AD8</f>
        <v>1</v>
      </c>
      <c r="HW3">
        <f>Values!$J8</f>
        <v>5</v>
      </c>
      <c r="HX3">
        <f>Values!$P8</f>
        <v>1</v>
      </c>
      <c r="HY3">
        <f>Values!$V8</f>
        <v>5</v>
      </c>
      <c r="HZ3">
        <f>Values!$AG8</f>
        <v>2</v>
      </c>
      <c r="IA3">
        <f>Values!$BK8</f>
        <v>2</v>
      </c>
      <c r="IB3">
        <f>Values!$AO8</f>
        <v>2</v>
      </c>
      <c r="IC3">
        <f>Values!$BS8</f>
        <v>3</v>
      </c>
      <c r="ID3">
        <f>Values!$BB8</f>
        <v>4</v>
      </c>
      <c r="IE3">
        <f>Values!$CF8</f>
        <v>3</v>
      </c>
      <c r="IF3">
        <f>Values!$AH8</f>
        <v>2</v>
      </c>
      <c r="IG3">
        <f>Values!$BL8</f>
        <v>2</v>
      </c>
      <c r="IH3">
        <f>Values!$AS8</f>
        <v>5</v>
      </c>
      <c r="II3">
        <f>Values!$BW8</f>
        <v>4</v>
      </c>
      <c r="IJ3">
        <f>Values!$BA8</f>
        <v>1</v>
      </c>
      <c r="IK3">
        <f>Values!$CE8</f>
        <v>2</v>
      </c>
      <c r="IL3">
        <f>Values!$AM8</f>
        <v>3</v>
      </c>
      <c r="IM3">
        <f>Values!$BQ8</f>
        <v>3</v>
      </c>
      <c r="IN3">
        <f>Values!$AV8</f>
        <v>3</v>
      </c>
      <c r="IO3">
        <f>Values!$BZ8</f>
        <v>3</v>
      </c>
      <c r="IP3">
        <f>Values!$BF8</f>
        <v>2</v>
      </c>
      <c r="IQ3">
        <f>Values!$CJ8</f>
        <v>2</v>
      </c>
      <c r="IR3">
        <f>Values!$AJ8</f>
        <v>4</v>
      </c>
      <c r="IS3">
        <f>Values!$BN8</f>
        <v>5</v>
      </c>
      <c r="IT3">
        <f>Values!$AQ8</f>
        <v>5</v>
      </c>
      <c r="IU3">
        <f>Values!$BU8</f>
        <v>4</v>
      </c>
      <c r="IV3">
        <f>Values!$AX8</f>
        <v>5</v>
      </c>
      <c r="IW3">
        <f>Values!$CB8</f>
        <v>4</v>
      </c>
      <c r="IX3">
        <f>Values!$BE8</f>
        <v>5</v>
      </c>
      <c r="IY3">
        <f>Values!$CI8</f>
        <v>5</v>
      </c>
      <c r="IZ3">
        <f>Values!$BI8</f>
        <v>2</v>
      </c>
      <c r="JA3">
        <f>Values!$CM8</f>
        <v>1</v>
      </c>
      <c r="JB3">
        <f>Values!$AI8</f>
        <v>5</v>
      </c>
      <c r="JC3">
        <f>Values!$BM8</f>
        <v>4</v>
      </c>
      <c r="JD3">
        <f>Values!$AP8</f>
        <v>5</v>
      </c>
      <c r="JE3">
        <f>Values!$BT8</f>
        <v>4</v>
      </c>
      <c r="JF3">
        <f>Values!$AW8</f>
        <v>4</v>
      </c>
      <c r="JG3">
        <f>Values!$CA8</f>
        <v>4</v>
      </c>
      <c r="JH3">
        <f>Values!$BD8</f>
        <v>2</v>
      </c>
      <c r="JI3">
        <f>Values!$CH8</f>
        <v>1</v>
      </c>
      <c r="JJ3">
        <f>Values!$BH8</f>
        <v>5</v>
      </c>
      <c r="JK3">
        <f>Values!$CL8</f>
        <v>4</v>
      </c>
      <c r="JL3">
        <f>Values!$AK8</f>
        <v>1</v>
      </c>
      <c r="JM3">
        <f>Values!$BO8</f>
        <v>3</v>
      </c>
      <c r="JN3">
        <f>Values!$AR8</f>
        <v>4</v>
      </c>
      <c r="JO3">
        <f>Values!$BV8</f>
        <v>4</v>
      </c>
      <c r="JP3">
        <f>Values!$AY8</f>
        <v>2</v>
      </c>
      <c r="JQ3">
        <f>Values!$CC8</f>
        <v>2</v>
      </c>
      <c r="JR3">
        <f>Values!$AL8</f>
        <v>5</v>
      </c>
      <c r="JS3">
        <f>Values!$BP8</f>
        <v>4</v>
      </c>
      <c r="JT3">
        <f>Values!$AT8</f>
        <v>1</v>
      </c>
      <c r="JU3">
        <f>Values!$BX8</f>
        <v>1</v>
      </c>
      <c r="JV3">
        <f>Values!$AZ8</f>
        <v>4</v>
      </c>
      <c r="JW3">
        <f>Values!$CD8</f>
        <v>5</v>
      </c>
      <c r="JX3">
        <f>Values!$AU8</f>
        <v>4</v>
      </c>
      <c r="JY3">
        <f>Values!$BY8</f>
        <v>2</v>
      </c>
      <c r="JZ3">
        <f>Values!$AN8</f>
        <v>1</v>
      </c>
      <c r="KA3">
        <f>Values!$BR8</f>
        <v>1</v>
      </c>
      <c r="KB3">
        <f>Values!$BC8</f>
        <v>1</v>
      </c>
      <c r="KC3">
        <f>Values!$CG8</f>
        <v>1</v>
      </c>
      <c r="KD3">
        <f>Values!$BJ8</f>
        <v>4</v>
      </c>
      <c r="KE3">
        <f>Values!$CN8</f>
        <v>4</v>
      </c>
      <c r="KF3">
        <f>Values!$BG8</f>
        <v>5</v>
      </c>
      <c r="KG3">
        <f>Values!$CK8</f>
        <v>5</v>
      </c>
    </row>
    <row r="4" spans="1:293" x14ac:dyDescent="0.45">
      <c r="A4">
        <f t="shared" si="0"/>
        <v>1</v>
      </c>
      <c r="B4" t="str">
        <f>Values!$A$9</f>
        <v>Priya Raman</v>
      </c>
      <c r="C4" t="str">
        <f>TEXT(Responses!$C$4,"yyyy-mm-dd")</f>
        <v>2026-09-15</v>
      </c>
      <c r="D4">
        <f t="shared" si="1"/>
        <v>9</v>
      </c>
      <c r="E4">
        <f>Values!$B9</f>
        <v>4</v>
      </c>
      <c r="F4">
        <f>Values!$C9</f>
        <v>1</v>
      </c>
      <c r="G4">
        <f>Values!$D9</f>
        <v>3</v>
      </c>
      <c r="H4">
        <f>Values!$E9</f>
        <v>4</v>
      </c>
      <c r="I4">
        <f>Values!$F9</f>
        <v>2</v>
      </c>
      <c r="J4">
        <f>IF(COUNT(Values!$X9,Values!$AC9,Values!$K9)&lt;3,NA(),AVERAGE(Values!$X9,Values!$AC9,6-Values!$K9))</f>
        <v>4</v>
      </c>
      <c r="K4">
        <f>IF(COUNT(Values!$AG9,Values!$AO9,Values!$BB9)&lt;3,NA(),AVERAGE(Values!$AG9,Values!$AO9,6-Values!$BB9))</f>
        <v>4.666666666666667</v>
      </c>
      <c r="L4">
        <f>IF(COUNT(Values!$BK9,Values!$BS9,Values!$CF9)&lt;3,NA(),AVERAGE(Values!$BK9,Values!$BS9,6-Values!$CF9))</f>
        <v>4</v>
      </c>
      <c r="M4">
        <f>IF(COUNT(Values!$G9,Values!$AA9,Values!$S9)&lt;3,NA(),AVERAGE(Values!$G9,6-Values!$AA9,Values!$S9))</f>
        <v>3.3333333333333335</v>
      </c>
      <c r="N4">
        <f>IF(COUNT(Values!$AH9,Values!$AS9,Values!$BA9)&lt;3,NA(),AVERAGE(Values!$AH9,6-Values!$AS9,Values!$BA9))</f>
        <v>4.333333333333333</v>
      </c>
      <c r="O4">
        <f>IF(COUNT(Values!$BL9,Values!$BW9,Values!$CE9)&lt;3,NA(),AVERAGE(Values!$BL9,6-Values!$BW9,Values!$CE9))</f>
        <v>3.3333333333333335</v>
      </c>
      <c r="P4">
        <f>IF(COUNT(Values!$Y9,Values!$AE9,Values!$N9)&lt;3,NA(),AVERAGE(Values!$Y9,Values!$AE9,6-Values!$N9))</f>
        <v>4.666666666666667</v>
      </c>
      <c r="Q4">
        <f>IF(COUNT(Values!$AM9,Values!$AV9,Values!$BF9)&lt;3,NA(),AVERAGE(Values!$AM9,Values!$AV9,6-Values!$BF9))</f>
        <v>4.666666666666667</v>
      </c>
      <c r="R4">
        <f>IF(COUNT(Values!$BQ9,Values!$BZ9,Values!$CJ9)&lt;3,NA(),AVERAGE(Values!$BQ9,Values!$BZ9,6-Values!$CJ9))</f>
        <v>4</v>
      </c>
      <c r="S4">
        <f>IF(COUNT(Values!$I9,Values!$M9,Values!$AB9,Values!$Q9,Values!$T9,Values!$W9)&lt;6,NA(),AVERAGE(Values!$I9,AVERAGE(Values!$M9,Values!$AB9),Values!$Q9,Values!$T9,6-Values!$W9))</f>
        <v>2.5</v>
      </c>
      <c r="T4">
        <f>IF(COUNT(Values!$AJ9,Values!$AQ9,Values!$AX9,Values!$BE9,Values!$BI9)&lt;5,NA(),AVERAGE(Values!$AJ9,Values!$AQ9,Values!$AX9,Values!$BE9,6-Values!$BI9))</f>
        <v>2.2000000000000002</v>
      </c>
      <c r="U4">
        <f>IF(COUNT(Values!$BN9,Values!$BU9,Values!$CB9,Values!$CI9,Values!$CM9)&lt;5,NA(),AVERAGE(Values!$BN9,Values!$BU9,Values!$CB9,Values!$CI9,6-Values!$CM9))</f>
        <v>3.2</v>
      </c>
      <c r="V4">
        <f>IF(COUNT(Values!$H9,Values!$L9,Values!$O9,Values!$R9,Values!$U9)&lt;5,NA(),AVERAGE(Values!$H9,Values!$L9,Values!$O9,6-Values!$R9,Values!$U9))</f>
        <v>2.4</v>
      </c>
      <c r="W4">
        <f>IF(COUNT(Values!$AI9,Values!$AP9,Values!$AW9,Values!$BD9,Values!$BH9)&lt;5,NA(),AVERAGE(Values!$AI9,Values!$AP9,Values!$AW9,6-Values!$BD9,Values!$BH9))</f>
        <v>2.4</v>
      </c>
      <c r="X4">
        <f>IF(COUNT(Values!$BM9,Values!$BT9,Values!$CA9,Values!$CH9,Values!$CL9)&lt;5,NA(),AVERAGE(Values!$BM9,Values!$BT9,Values!$CA9,6-Values!$CH9,Values!$CL9))</f>
        <v>2.8</v>
      </c>
      <c r="Y4">
        <f>IF(COUNT(Values!$Z9,Values!$AF9,Values!$AD9)&lt;3,NA(),AVERAGE(Values!$Z9,6-Values!$AF9,Values!$AD9))</f>
        <v>3.3333333333333335</v>
      </c>
      <c r="Z4">
        <f>IF(COUNT(Values!$AK9,Values!$AR9,Values!$AY9)&lt;3,NA(),AVERAGE(Values!$AK9,6-Values!$AR9,Values!$AY9))</f>
        <v>5</v>
      </c>
      <c r="AA4">
        <f>IF(COUNT(Values!$BO9,Values!$BV9,Values!$CC9)&lt;3,NA(),AVERAGE(Values!$BO9,6-Values!$BV9,Values!$CC9))</f>
        <v>3</v>
      </c>
      <c r="AB4">
        <f>IF(COUNT(Values!$J9,Values!$P9,Values!$V9)&lt;3,NA(),AVERAGE(Values!$J9,6-Values!$P9,Values!$V9))</f>
        <v>3.6666666666666665</v>
      </c>
      <c r="AC4">
        <f>IF(COUNT(Values!$AL9,Values!$AT9,Values!$AZ9)&lt;3,NA(),AVERAGE(Values!$AL9,6-Values!$AT9,Values!$AZ9))</f>
        <v>3</v>
      </c>
      <c r="AD4">
        <f>IF(COUNT(Values!$BP9,Values!$BX9,Values!$CD9)&lt;3,NA(),AVERAGE(Values!$BP9,6-Values!$BX9,Values!$CD9))</f>
        <v>3.6666666666666665</v>
      </c>
      <c r="AE4">
        <f t="shared" si="2"/>
        <v>0.66666666666666696</v>
      </c>
      <c r="AF4">
        <f t="shared" si="3"/>
        <v>-0.66666666666666696</v>
      </c>
      <c r="AG4">
        <f t="shared" si="4"/>
        <v>0.99999999999999956</v>
      </c>
      <c r="AH4">
        <f t="shared" si="5"/>
        <v>-0.99999999999999956</v>
      </c>
      <c r="AI4">
        <f t="shared" si="6"/>
        <v>0</v>
      </c>
      <c r="AJ4">
        <f t="shared" si="7"/>
        <v>-0.66666666666666696</v>
      </c>
      <c r="AK4">
        <f t="shared" si="8"/>
        <v>-0.29999999999999982</v>
      </c>
      <c r="AL4">
        <f t="shared" si="9"/>
        <v>1</v>
      </c>
      <c r="AM4">
        <f t="shared" si="10"/>
        <v>0</v>
      </c>
      <c r="AN4">
        <f t="shared" si="11"/>
        <v>0.39999999999999991</v>
      </c>
      <c r="AO4">
        <f t="shared" si="12"/>
        <v>1.6666666666666665</v>
      </c>
      <c r="AP4">
        <f t="shared" si="13"/>
        <v>-2</v>
      </c>
      <c r="AQ4">
        <f t="shared" si="14"/>
        <v>-0.66666666666666652</v>
      </c>
      <c r="AR4">
        <f t="shared" si="15"/>
        <v>0.66666666666666652</v>
      </c>
      <c r="AS4">
        <f>Values!$CO9</f>
        <v>4</v>
      </c>
      <c r="AT4">
        <f>Values!$DH9</f>
        <v>6</v>
      </c>
      <c r="AU4">
        <f>Values!$EA9</f>
        <v>4</v>
      </c>
      <c r="AV4">
        <f>Values!$CP9</f>
        <v>4</v>
      </c>
      <c r="AW4">
        <f>Values!$DI9</f>
        <v>5</v>
      </c>
      <c r="AX4">
        <f>Values!$EB9</f>
        <v>4</v>
      </c>
      <c r="AY4">
        <f>Values!$CQ9</f>
        <v>4</v>
      </c>
      <c r="AZ4">
        <f>Values!$DJ9</f>
        <v>5</v>
      </c>
      <c r="BA4">
        <f>Values!$EC9</f>
        <v>4</v>
      </c>
      <c r="BB4">
        <f>Values!$CR9</f>
        <v>4</v>
      </c>
      <c r="BC4">
        <f>Values!$DK9</f>
        <v>6</v>
      </c>
      <c r="BD4">
        <f>Values!$ED9</f>
        <v>4</v>
      </c>
      <c r="BE4">
        <f>Values!$CS9</f>
        <v>4</v>
      </c>
      <c r="BF4">
        <f>Values!$DL9</f>
        <v>5</v>
      </c>
      <c r="BG4">
        <f>Values!$EE9</f>
        <v>4</v>
      </c>
      <c r="BH4">
        <f>Values!$CT9</f>
        <v>4</v>
      </c>
      <c r="BI4">
        <f>Values!$DM9</f>
        <v>5</v>
      </c>
      <c r="BJ4">
        <f>Values!$EF9</f>
        <v>4</v>
      </c>
      <c r="BK4">
        <f>Values!$CU9</f>
        <v>4</v>
      </c>
      <c r="BL4">
        <f>Values!$DN9</f>
        <v>5</v>
      </c>
      <c r="BM4">
        <f>Values!$EG9</f>
        <v>4</v>
      </c>
      <c r="BN4">
        <f>Values!$CV9</f>
        <v>5</v>
      </c>
      <c r="BO4">
        <f>Values!$DO9</f>
        <v>6</v>
      </c>
      <c r="BP4">
        <f>Values!$EH9</f>
        <v>6</v>
      </c>
      <c r="BQ4">
        <f>Values!$CW9</f>
        <v>2</v>
      </c>
      <c r="BR4">
        <f>Values!$DP9</f>
        <v>4</v>
      </c>
      <c r="BS4">
        <f>Values!$EI9</f>
        <v>2</v>
      </c>
      <c r="BT4">
        <f>Values!$CX9</f>
        <v>2</v>
      </c>
      <c r="BU4">
        <f>Values!$DQ9</f>
        <v>3</v>
      </c>
      <c r="BV4">
        <f>Values!$EJ9</f>
        <v>2</v>
      </c>
      <c r="BW4">
        <f>Values!$CY9</f>
        <v>2</v>
      </c>
      <c r="BX4">
        <f>Values!$DR9</f>
        <v>3</v>
      </c>
      <c r="BY4">
        <f>Values!$EK9</f>
        <v>3</v>
      </c>
      <c r="BZ4" t="str">
        <f>Values!$CZ9</f>
        <v>NA</v>
      </c>
      <c r="CA4" t="str">
        <f>Values!$DS9</f>
        <v>NA</v>
      </c>
      <c r="CB4" t="str">
        <f>Values!$EL9</f>
        <v>NA</v>
      </c>
      <c r="CC4">
        <f>Values!$DA9</f>
        <v>3</v>
      </c>
      <c r="CD4">
        <f>Values!$DT9</f>
        <v>4</v>
      </c>
      <c r="CE4">
        <f>Values!$EM9</f>
        <v>3</v>
      </c>
      <c r="CF4">
        <f>Values!$DB9</f>
        <v>4</v>
      </c>
      <c r="CG4">
        <f>Values!$DU9</f>
        <v>5</v>
      </c>
      <c r="CH4">
        <f>Values!$EN9</f>
        <v>5</v>
      </c>
      <c r="CI4">
        <f>Values!$DC9</f>
        <v>3</v>
      </c>
      <c r="CJ4">
        <f>Values!$DV9</f>
        <v>4</v>
      </c>
      <c r="CK4">
        <f>Values!$EO9</f>
        <v>4</v>
      </c>
      <c r="CL4">
        <f>Values!$DD9</f>
        <v>5</v>
      </c>
      <c r="CM4">
        <f>Values!$DW9</f>
        <v>6</v>
      </c>
      <c r="CN4">
        <f>Values!$EP9</f>
        <v>5</v>
      </c>
      <c r="CO4">
        <f>Values!$DE9</f>
        <v>4</v>
      </c>
      <c r="CP4">
        <f>Values!$DX9</f>
        <v>5</v>
      </c>
      <c r="CQ4">
        <f>Values!$EQ9</f>
        <v>4</v>
      </c>
      <c r="CR4">
        <f>Values!$DF9</f>
        <v>4</v>
      </c>
      <c r="CS4">
        <f>Values!$DY9</f>
        <v>5</v>
      </c>
      <c r="CT4">
        <f>Values!$ER9</f>
        <v>4</v>
      </c>
      <c r="CU4">
        <f>Values!$DG9</f>
        <v>4</v>
      </c>
      <c r="CV4">
        <f>Values!$DZ9</f>
        <v>5</v>
      </c>
      <c r="CW4">
        <f>Values!$ES9</f>
        <v>4</v>
      </c>
      <c r="CX4">
        <f t="shared" si="16"/>
        <v>2</v>
      </c>
      <c r="CY4">
        <f t="shared" si="17"/>
        <v>-2</v>
      </c>
      <c r="CZ4">
        <f t="shared" si="18"/>
        <v>1</v>
      </c>
      <c r="DA4">
        <f t="shared" si="19"/>
        <v>-1</v>
      </c>
      <c r="DB4">
        <f t="shared" si="20"/>
        <v>1</v>
      </c>
      <c r="DC4">
        <f t="shared" si="21"/>
        <v>-1</v>
      </c>
      <c r="DD4">
        <f t="shared" si="22"/>
        <v>2</v>
      </c>
      <c r="DE4">
        <f t="shared" si="23"/>
        <v>-2</v>
      </c>
      <c r="DF4">
        <f t="shared" si="24"/>
        <v>1</v>
      </c>
      <c r="DG4">
        <f t="shared" si="25"/>
        <v>-1</v>
      </c>
      <c r="DH4">
        <f t="shared" si="26"/>
        <v>1</v>
      </c>
      <c r="DI4">
        <f t="shared" si="27"/>
        <v>-1</v>
      </c>
      <c r="DJ4">
        <f t="shared" si="28"/>
        <v>1</v>
      </c>
      <c r="DK4">
        <f t="shared" si="29"/>
        <v>-1</v>
      </c>
      <c r="DL4">
        <f t="shared" si="30"/>
        <v>1</v>
      </c>
      <c r="DM4">
        <f t="shared" si="31"/>
        <v>0</v>
      </c>
      <c r="DN4">
        <f t="shared" si="32"/>
        <v>2</v>
      </c>
      <c r="DO4">
        <f t="shared" si="33"/>
        <v>-2</v>
      </c>
      <c r="DP4">
        <f t="shared" si="34"/>
        <v>1</v>
      </c>
      <c r="DQ4">
        <f t="shared" si="35"/>
        <v>-1</v>
      </c>
      <c r="DR4">
        <f t="shared" si="36"/>
        <v>1</v>
      </c>
      <c r="DS4">
        <f t="shared" si="37"/>
        <v>0</v>
      </c>
      <c r="DT4" t="str">
        <f t="shared" si="38"/>
        <v>NA</v>
      </c>
      <c r="DU4" t="str">
        <f t="shared" si="39"/>
        <v>NA</v>
      </c>
      <c r="DV4">
        <f t="shared" si="40"/>
        <v>1</v>
      </c>
      <c r="DW4">
        <f t="shared" si="41"/>
        <v>-1</v>
      </c>
      <c r="DX4">
        <f t="shared" si="42"/>
        <v>1</v>
      </c>
      <c r="DY4">
        <f t="shared" si="43"/>
        <v>0</v>
      </c>
      <c r="DZ4">
        <f t="shared" si="44"/>
        <v>1</v>
      </c>
      <c r="EA4">
        <f t="shared" si="45"/>
        <v>0</v>
      </c>
      <c r="EB4">
        <f t="shared" si="46"/>
        <v>1</v>
      </c>
      <c r="EC4">
        <f t="shared" si="47"/>
        <v>-1</v>
      </c>
      <c r="ED4">
        <f t="shared" si="48"/>
        <v>1</v>
      </c>
      <c r="EE4">
        <f t="shared" si="49"/>
        <v>-1</v>
      </c>
      <c r="EF4">
        <f t="shared" si="50"/>
        <v>1</v>
      </c>
      <c r="EG4">
        <f t="shared" si="51"/>
        <v>-1</v>
      </c>
      <c r="EH4">
        <f t="shared" si="52"/>
        <v>1</v>
      </c>
      <c r="EI4">
        <f t="shared" si="53"/>
        <v>-1</v>
      </c>
      <c r="EJ4">
        <f>IF(ISNUMBER(Values!$AU9),--(Values!$AU9&gt;=4),0)</f>
        <v>0</v>
      </c>
      <c r="EK4">
        <f>IF(ISNUMBER(Values!$BY9),--(Values!$BY9&gt;=4),0)</f>
        <v>0</v>
      </c>
      <c r="EL4">
        <f>IF(ISNUMBER(Values!$AN9),--(Values!$AN9&gt;=4),0)</f>
        <v>1</v>
      </c>
      <c r="EM4">
        <f>IF(ISNUMBER(Values!$BR9),--(Values!$BR9&gt;=4),0)</f>
        <v>0</v>
      </c>
      <c r="EN4">
        <f>IF(ISNUMBER(Values!$BC9),--(Values!$BC9&gt;=4),0)</f>
        <v>1</v>
      </c>
      <c r="EO4">
        <f>IF(ISNUMBER(Values!$CG9),--(Values!$CG9&gt;=4),0)</f>
        <v>0</v>
      </c>
      <c r="EP4">
        <f>IF(ISNUMBER(Values!$BJ9),--(Values!$BJ9&gt;=4),0)</f>
        <v>0</v>
      </c>
      <c r="EQ4">
        <f>IF(ISNUMBER(Values!$CN9),--(Values!$CN9&gt;=4),0)</f>
        <v>0</v>
      </c>
      <c r="ER4">
        <f>IF(ISNUMBER(Values!$BG9),--(Values!$BG9&gt;=4),0)</f>
        <v>0</v>
      </c>
      <c r="ES4">
        <f>IF(ISNUMBER(Values!$CK9),--(Values!$CK9&gt;=4),0)</f>
        <v>0</v>
      </c>
      <c r="ET4">
        <f>Values!$ET9</f>
        <v>0</v>
      </c>
      <c r="EU4">
        <f>Values!$FA9</f>
        <v>0</v>
      </c>
      <c r="EV4">
        <f>Values!$FH9</f>
        <v>0</v>
      </c>
      <c r="EW4">
        <f>Values!$EU9</f>
        <v>0</v>
      </c>
      <c r="EX4">
        <f>Values!$FB9</f>
        <v>0</v>
      </c>
      <c r="EY4">
        <f>Values!$FI9</f>
        <v>0</v>
      </c>
      <c r="EZ4">
        <f>Values!$EV9</f>
        <v>1</v>
      </c>
      <c r="FA4">
        <f>Values!$FC9</f>
        <v>1</v>
      </c>
      <c r="FB4">
        <f>Values!$FJ9</f>
        <v>1</v>
      </c>
      <c r="FC4">
        <f>Values!$EW9</f>
        <v>0</v>
      </c>
      <c r="FD4">
        <f>Values!$FD9</f>
        <v>1</v>
      </c>
      <c r="FE4">
        <f>Values!$FK9</f>
        <v>0</v>
      </c>
      <c r="FF4">
        <f>Values!$EX9</f>
        <v>0</v>
      </c>
      <c r="FG4">
        <f>Values!$FE9</f>
        <v>0</v>
      </c>
      <c r="FH4">
        <f>Values!$FL9</f>
        <v>0</v>
      </c>
      <c r="FI4">
        <f>Values!$EY9</f>
        <v>1</v>
      </c>
      <c r="FJ4">
        <f>Values!$FF9</f>
        <v>1</v>
      </c>
      <c r="FK4">
        <f>Values!$FM9</f>
        <v>1</v>
      </c>
      <c r="FL4">
        <f>Values!$EZ9</f>
        <v>0</v>
      </c>
      <c r="FM4">
        <f>Values!$FG9</f>
        <v>1</v>
      </c>
      <c r="FN4">
        <f>Values!$FN9</f>
        <v>0</v>
      </c>
      <c r="FO4">
        <f t="shared" si="54"/>
        <v>0</v>
      </c>
      <c r="FP4">
        <f t="shared" si="55"/>
        <v>0</v>
      </c>
      <c r="FQ4">
        <f t="shared" si="56"/>
        <v>1</v>
      </c>
      <c r="FR4">
        <f t="shared" si="57"/>
        <v>0</v>
      </c>
      <c r="FS4">
        <f t="shared" si="58"/>
        <v>0</v>
      </c>
      <c r="FT4">
        <f t="shared" si="59"/>
        <v>1</v>
      </c>
      <c r="FU4">
        <f>Values!$FP9</f>
        <v>0</v>
      </c>
      <c r="FV4">
        <f>Values!$FQ9</f>
        <v>0</v>
      </c>
      <c r="FW4">
        <f>Values!$FR9</f>
        <v>0</v>
      </c>
      <c r="FX4">
        <f>Values!$FS9</f>
        <v>1</v>
      </c>
      <c r="FY4">
        <f>Values!$FT9</f>
        <v>0</v>
      </c>
      <c r="FZ4">
        <f>Values!$FU9</f>
        <v>0</v>
      </c>
      <c r="GA4">
        <f t="shared" si="60"/>
        <v>0</v>
      </c>
      <c r="GB4">
        <f t="shared" si="61"/>
        <v>0</v>
      </c>
      <c r="GC4">
        <f t="shared" si="62"/>
        <v>0</v>
      </c>
      <c r="GD4">
        <f t="shared" si="63"/>
        <v>1</v>
      </c>
      <c r="GE4">
        <f t="shared" si="64"/>
        <v>0</v>
      </c>
      <c r="GF4">
        <f t="shared" si="65"/>
        <v>0</v>
      </c>
      <c r="GG4">
        <f t="array" ref="GG4">IF(_xlfn.TEXTJOIN(";",TRUE,IF((Values!$B$2:$FU$2="item")*(Values!$B9:$FU9=""),Values!$B$5:$FU$5,""))="",0,_xlfn.TEXTJOIN(";",TRUE,IF((Values!$B$2:$FU$2="item")*(Values!$B9:$FU9=""),Values!$B$5:$FU$5,"")))</f>
        <v>0</v>
      </c>
      <c r="GH4">
        <f t="shared" si="66"/>
        <v>0</v>
      </c>
      <c r="GI4">
        <f t="shared" si="67"/>
        <v>0</v>
      </c>
      <c r="GJ4">
        <f t="shared" si="68"/>
        <v>0</v>
      </c>
      <c r="GK4">
        <f t="shared" si="69"/>
        <v>0</v>
      </c>
      <c r="GL4">
        <f>Pattern!$W4</f>
        <v>0</v>
      </c>
      <c r="GM4">
        <f>Pattern!$AS4</f>
        <v>0</v>
      </c>
      <c r="GN4">
        <f>Pattern!$BO4</f>
        <v>0</v>
      </c>
      <c r="GO4">
        <f>Pattern!$BQ4</f>
        <v>0</v>
      </c>
      <c r="GP4">
        <f>Pattern!$S4</f>
        <v>2</v>
      </c>
      <c r="GQ4">
        <f>Pattern!$AO4</f>
        <v>3</v>
      </c>
      <c r="GR4">
        <f>Pattern!$BK4</f>
        <v>3</v>
      </c>
      <c r="GS4">
        <f>Pattern!$V4</f>
        <v>0.47058823529411764</v>
      </c>
      <c r="GT4">
        <f>Pattern!$AR4</f>
        <v>0.23333333333333334</v>
      </c>
      <c r="GU4">
        <f>Pattern!$BN4</f>
        <v>0.46666666666666667</v>
      </c>
      <c r="GV4">
        <f>Pattern!$T4</f>
        <v>2</v>
      </c>
      <c r="GW4">
        <f>Pattern!$AP4</f>
        <v>1</v>
      </c>
      <c r="GX4">
        <f>Pattern!$BL4</f>
        <v>2</v>
      </c>
      <c r="GY4">
        <f>Pattern!$BP4</f>
        <v>8</v>
      </c>
      <c r="GZ4">
        <f>Values!$X9</f>
        <v>4</v>
      </c>
      <c r="HA4">
        <f>Values!$AC9</f>
        <v>4</v>
      </c>
      <c r="HB4">
        <f>Values!$K9</f>
        <v>2</v>
      </c>
      <c r="HC4">
        <f>Values!$G9</f>
        <v>3</v>
      </c>
      <c r="HD4">
        <f>Values!$AA9</f>
        <v>2</v>
      </c>
      <c r="HE4">
        <f>Values!$S9</f>
        <v>3</v>
      </c>
      <c r="HF4">
        <f>Values!$Y9</f>
        <v>5</v>
      </c>
      <c r="HG4">
        <f>Values!$AE9</f>
        <v>5</v>
      </c>
      <c r="HH4">
        <f>Values!$N9</f>
        <v>2</v>
      </c>
      <c r="HI4">
        <f>Values!$I9</f>
        <v>2</v>
      </c>
      <c r="HJ4">
        <f>Values!$M9</f>
        <v>3</v>
      </c>
      <c r="HK4">
        <f>Values!$AB9</f>
        <v>2</v>
      </c>
      <c r="HL4">
        <f>Values!$Q9</f>
        <v>2</v>
      </c>
      <c r="HM4">
        <f>Values!$T9</f>
        <v>3</v>
      </c>
      <c r="HN4">
        <f>Values!$W9</f>
        <v>3</v>
      </c>
      <c r="HO4">
        <f>Values!$H9</f>
        <v>3</v>
      </c>
      <c r="HP4">
        <f>Values!$L9</f>
        <v>2</v>
      </c>
      <c r="HQ4">
        <f>Values!$O9</f>
        <v>2</v>
      </c>
      <c r="HR4">
        <f>Values!$R9</f>
        <v>3</v>
      </c>
      <c r="HS4">
        <f>Values!$U9</f>
        <v>2</v>
      </c>
      <c r="HT4">
        <f>Values!$Z9</f>
        <v>4</v>
      </c>
      <c r="HU4">
        <f>Values!$AF9</f>
        <v>3</v>
      </c>
      <c r="HV4">
        <f>Values!$AD9</f>
        <v>3</v>
      </c>
      <c r="HW4">
        <f>Values!$J9</f>
        <v>4</v>
      </c>
      <c r="HX4">
        <f>Values!$P9</f>
        <v>3</v>
      </c>
      <c r="HY4">
        <f>Values!$V9</f>
        <v>4</v>
      </c>
      <c r="HZ4">
        <f>Values!$AG9</f>
        <v>5</v>
      </c>
      <c r="IA4">
        <f>Values!$BK9</f>
        <v>4</v>
      </c>
      <c r="IB4">
        <f>Values!$AO9</f>
        <v>4</v>
      </c>
      <c r="IC4">
        <f>Values!$BS9</f>
        <v>4</v>
      </c>
      <c r="ID4">
        <f>Values!$BB9</f>
        <v>1</v>
      </c>
      <c r="IE4">
        <f>Values!$CF9</f>
        <v>2</v>
      </c>
      <c r="IF4">
        <f>Values!$AH9</f>
        <v>4</v>
      </c>
      <c r="IG4">
        <f>Values!$BL9</f>
        <v>3</v>
      </c>
      <c r="IH4">
        <f>Values!$AS9</f>
        <v>1</v>
      </c>
      <c r="II4">
        <f>Values!$BW9</f>
        <v>2</v>
      </c>
      <c r="IJ4">
        <f>Values!$BA9</f>
        <v>4</v>
      </c>
      <c r="IK4">
        <f>Values!$CE9</f>
        <v>3</v>
      </c>
      <c r="IL4">
        <f>Values!$AM9</f>
        <v>5</v>
      </c>
      <c r="IM4">
        <f>Values!$BQ9</f>
        <v>4</v>
      </c>
      <c r="IN4">
        <f>Values!$AV9</f>
        <v>4</v>
      </c>
      <c r="IO4">
        <f>Values!$BZ9</f>
        <v>3</v>
      </c>
      <c r="IP4">
        <f>Values!$BF9</f>
        <v>1</v>
      </c>
      <c r="IQ4">
        <f>Values!$CJ9</f>
        <v>1</v>
      </c>
      <c r="IR4">
        <f>Values!$AJ9</f>
        <v>2</v>
      </c>
      <c r="IS4">
        <f>Values!$BN9</f>
        <v>3</v>
      </c>
      <c r="IT4">
        <f>Values!$AQ9</f>
        <v>2</v>
      </c>
      <c r="IU4">
        <f>Values!$BU9</f>
        <v>3</v>
      </c>
      <c r="IV4">
        <f>Values!$AX9</f>
        <v>2</v>
      </c>
      <c r="IW4">
        <f>Values!$CB9</f>
        <v>3</v>
      </c>
      <c r="IX4">
        <f>Values!$BE9</f>
        <v>3</v>
      </c>
      <c r="IY4">
        <f>Values!$CI9</f>
        <v>4</v>
      </c>
      <c r="IZ4">
        <f>Values!$BI9</f>
        <v>4</v>
      </c>
      <c r="JA4">
        <f>Values!$CM9</f>
        <v>3</v>
      </c>
      <c r="JB4">
        <f>Values!$AI9</f>
        <v>3</v>
      </c>
      <c r="JC4">
        <f>Values!$BM9</f>
        <v>3</v>
      </c>
      <c r="JD4">
        <f>Values!$AP9</f>
        <v>2</v>
      </c>
      <c r="JE4">
        <f>Values!$BT9</f>
        <v>3</v>
      </c>
      <c r="JF4">
        <f>Values!$AW9</f>
        <v>2</v>
      </c>
      <c r="JG4">
        <f>Values!$CA9</f>
        <v>2</v>
      </c>
      <c r="JH4">
        <f>Values!$BD9</f>
        <v>4</v>
      </c>
      <c r="JI4">
        <f>Values!$CH9</f>
        <v>3</v>
      </c>
      <c r="JJ4">
        <f>Values!$BH9</f>
        <v>3</v>
      </c>
      <c r="JK4">
        <f>Values!$CL9</f>
        <v>3</v>
      </c>
      <c r="JL4">
        <f>Values!$AK9</f>
        <v>5</v>
      </c>
      <c r="JM4">
        <f>Values!$BO9</f>
        <v>4</v>
      </c>
      <c r="JN4">
        <f>Values!$AR9</f>
        <v>1</v>
      </c>
      <c r="JO4">
        <f>Values!$BV9</f>
        <v>4</v>
      </c>
      <c r="JP4">
        <f>Values!$AY9</f>
        <v>5</v>
      </c>
      <c r="JQ4">
        <f>Values!$CC9</f>
        <v>3</v>
      </c>
      <c r="JR4">
        <f>Values!$AL9</f>
        <v>3</v>
      </c>
      <c r="JS4">
        <f>Values!$BP9</f>
        <v>4</v>
      </c>
      <c r="JT4">
        <f>Values!$AT9</f>
        <v>3</v>
      </c>
      <c r="JU4">
        <f>Values!$BX9</f>
        <v>2</v>
      </c>
      <c r="JV4">
        <f>Values!$AZ9</f>
        <v>3</v>
      </c>
      <c r="JW4">
        <f>Values!$CD9</f>
        <v>3</v>
      </c>
      <c r="JX4">
        <f>Values!$AU9</f>
        <v>1</v>
      </c>
      <c r="JY4">
        <f>Values!$BY9</f>
        <v>1</v>
      </c>
      <c r="JZ4">
        <f>Values!$AN9</f>
        <v>4</v>
      </c>
      <c r="KA4">
        <f>Values!$BR9</f>
        <v>2</v>
      </c>
      <c r="KB4">
        <f>Values!$BC9</f>
        <v>5</v>
      </c>
      <c r="KC4">
        <f>Values!$CG9</f>
        <v>2</v>
      </c>
      <c r="KD4">
        <f>Values!$BJ9</f>
        <v>1</v>
      </c>
      <c r="KE4">
        <f>Values!$CN9</f>
        <v>2</v>
      </c>
      <c r="KF4">
        <f>Values!$BG9</f>
        <v>3</v>
      </c>
      <c r="KG4">
        <f>Values!$CK9</f>
        <v>3</v>
      </c>
    </row>
    <row r="5" spans="1:293" x14ac:dyDescent="0.45">
      <c r="A5">
        <f t="shared" si="0"/>
        <v>1</v>
      </c>
      <c r="B5" t="str">
        <f>Values!$A$10</f>
        <v>Daniel Cho</v>
      </c>
      <c r="C5" t="str">
        <f>TEXT(Responses!$C$5,"yyyy-mm-dd")</f>
        <v>2026-09-15</v>
      </c>
      <c r="D5">
        <f t="shared" si="1"/>
        <v>9</v>
      </c>
      <c r="E5">
        <f>Values!$B10</f>
        <v>4</v>
      </c>
      <c r="F5">
        <f>Values!$C10</f>
        <v>2</v>
      </c>
      <c r="G5">
        <f>Values!$D10</f>
        <v>3</v>
      </c>
      <c r="H5">
        <f>Values!$E10</f>
        <v>1</v>
      </c>
      <c r="I5">
        <f>Values!$F10</f>
        <v>1</v>
      </c>
      <c r="J5">
        <f>IF(COUNT(Values!$X10,Values!$AC10,Values!$K10)&lt;3,NA(),AVERAGE(Values!$X10,Values!$AC10,6-Values!$K10))</f>
        <v>3</v>
      </c>
      <c r="K5">
        <f>IF(COUNT(Values!$AG10,Values!$AO10,Values!$BB10)&lt;3,NA(),AVERAGE(Values!$AG10,Values!$AO10,6-Values!$BB10))</f>
        <v>3</v>
      </c>
      <c r="L5">
        <f>IF(COUNT(Values!$BK10,Values!$BS10,Values!$CF10)&lt;3,NA(),AVERAGE(Values!$BK10,Values!$BS10,6-Values!$CF10))</f>
        <v>4.666666666666667</v>
      </c>
      <c r="M5">
        <f>IF(COUNT(Values!$G10,Values!$AA10,Values!$S10)&lt;3,NA(),AVERAGE(Values!$G10,6-Values!$AA10,Values!$S10))</f>
        <v>2.6666666666666665</v>
      </c>
      <c r="N5">
        <f>IF(COUNT(Values!$AH10,Values!$AS10,Values!$BA10)&lt;3,NA(),AVERAGE(Values!$AH10,6-Values!$AS10,Values!$BA10))</f>
        <v>3.6666666666666665</v>
      </c>
      <c r="O5">
        <f>IF(COUNT(Values!$BL10,Values!$BW10,Values!$CE10)&lt;3,NA(),AVERAGE(Values!$BL10,6-Values!$BW10,Values!$CE10))</f>
        <v>3.3333333333333335</v>
      </c>
      <c r="P5">
        <f>IF(COUNT(Values!$Y10,Values!$AE10,Values!$N10)&lt;3,NA(),AVERAGE(Values!$Y10,Values!$AE10,6-Values!$N10))</f>
        <v>2.3333333333333335</v>
      </c>
      <c r="Q5">
        <f>IF(COUNT(Values!$AM10,Values!$AV10,Values!$BF10)&lt;3,NA(),AVERAGE(Values!$AM10,Values!$AV10,6-Values!$BF10))</f>
        <v>3.3333333333333335</v>
      </c>
      <c r="R5">
        <f>IF(COUNT(Values!$BQ10,Values!$BZ10,Values!$CJ10)&lt;3,NA(),AVERAGE(Values!$BQ10,Values!$BZ10,6-Values!$CJ10))</f>
        <v>4.333333333333333</v>
      </c>
      <c r="S5">
        <f>IF(COUNT(Values!$I10,Values!$M10,Values!$AB10,Values!$Q10,Values!$T10,Values!$W10)&lt;6,NA(),AVERAGE(Values!$I10,AVERAGE(Values!$M10,Values!$AB10),Values!$Q10,Values!$T10,6-Values!$W10))</f>
        <v>3.4</v>
      </c>
      <c r="T5">
        <f>IF(COUNT(Values!$AJ10,Values!$AQ10,Values!$AX10,Values!$BE10,Values!$BI10)&lt;5,NA(),AVERAGE(Values!$AJ10,Values!$AQ10,Values!$AX10,Values!$BE10,6-Values!$BI10))</f>
        <v>3.8</v>
      </c>
      <c r="U5">
        <f>IF(COUNT(Values!$BN10,Values!$BU10,Values!$CB10,Values!$CI10,Values!$CM10)&lt;5,NA(),AVERAGE(Values!$BN10,Values!$BU10,Values!$CB10,Values!$CI10,6-Values!$CM10))</f>
        <v>3</v>
      </c>
      <c r="V5">
        <f>IF(COUNT(Values!$H10,Values!$L10,Values!$O10,Values!$R10,Values!$U10)&lt;5,NA(),AVERAGE(Values!$H10,Values!$L10,Values!$O10,6-Values!$R10,Values!$U10))</f>
        <v>3</v>
      </c>
      <c r="W5">
        <f>IF(COUNT(Values!$AI10,Values!$AP10,Values!$AW10,Values!$BD10,Values!$BH10)&lt;5,NA(),AVERAGE(Values!$AI10,Values!$AP10,Values!$AW10,6-Values!$BD10,Values!$BH10))</f>
        <v>3</v>
      </c>
      <c r="X5">
        <f>IF(COUNT(Values!$BM10,Values!$BT10,Values!$CA10,Values!$CH10,Values!$CL10)&lt;5,NA(),AVERAGE(Values!$BM10,Values!$BT10,Values!$CA10,6-Values!$CH10,Values!$CL10))</f>
        <v>3</v>
      </c>
      <c r="Y5">
        <f>IF(COUNT(Values!$Z10,Values!$AF10,Values!$AD10)&lt;3,NA(),AVERAGE(Values!$Z10,6-Values!$AF10,Values!$AD10))</f>
        <v>2.6666666666666665</v>
      </c>
      <c r="Z5">
        <f>IF(COUNT(Values!$AK10,Values!$AR10,Values!$AY10)&lt;3,NA(),AVERAGE(Values!$AK10,6-Values!$AR10,Values!$AY10))</f>
        <v>2.3333333333333335</v>
      </c>
      <c r="AA5">
        <f>IF(COUNT(Values!$BO10,Values!$BV10,Values!$CC10)&lt;3,NA(),AVERAGE(Values!$BO10,6-Values!$BV10,Values!$CC10))</f>
        <v>3.3333333333333335</v>
      </c>
      <c r="AB5">
        <f>IF(COUNT(Values!$J10,Values!$P10,Values!$V10)&lt;3,NA(),AVERAGE(Values!$J10,6-Values!$P10,Values!$V10))</f>
        <v>4</v>
      </c>
      <c r="AC5">
        <f>IF(COUNT(Values!$AL10,Values!$AT10,Values!$AZ10)&lt;3,NA(),AVERAGE(Values!$AL10,6-Values!$AT10,Values!$AZ10))</f>
        <v>4</v>
      </c>
      <c r="AD5">
        <f>IF(COUNT(Values!$BP10,Values!$BX10,Values!$CD10)&lt;3,NA(),AVERAGE(Values!$BP10,6-Values!$BX10,Values!$CD10))</f>
        <v>3.6666666666666665</v>
      </c>
      <c r="AE5">
        <f t="shared" si="2"/>
        <v>0</v>
      </c>
      <c r="AF5">
        <f t="shared" si="3"/>
        <v>1.666666666666667</v>
      </c>
      <c r="AG5">
        <f t="shared" si="4"/>
        <v>1</v>
      </c>
      <c r="AH5">
        <f t="shared" si="5"/>
        <v>-0.33333333333333304</v>
      </c>
      <c r="AI5">
        <f t="shared" si="6"/>
        <v>1</v>
      </c>
      <c r="AJ5">
        <f t="shared" si="7"/>
        <v>0.99999999999999956</v>
      </c>
      <c r="AK5">
        <f t="shared" si="8"/>
        <v>0.39999999999999991</v>
      </c>
      <c r="AL5">
        <f t="shared" si="9"/>
        <v>-0.79999999999999982</v>
      </c>
      <c r="AM5">
        <f t="shared" si="10"/>
        <v>0</v>
      </c>
      <c r="AN5">
        <f t="shared" si="11"/>
        <v>0</v>
      </c>
      <c r="AO5">
        <f t="shared" si="12"/>
        <v>-0.33333333333333304</v>
      </c>
      <c r="AP5">
        <f t="shared" si="13"/>
        <v>1</v>
      </c>
      <c r="AQ5">
        <f t="shared" si="14"/>
        <v>0</v>
      </c>
      <c r="AR5">
        <f t="shared" si="15"/>
        <v>-0.33333333333333348</v>
      </c>
      <c r="AS5">
        <f>Values!$CO10</f>
        <v>3</v>
      </c>
      <c r="AT5">
        <f>Values!$DH10</f>
        <v>4</v>
      </c>
      <c r="AU5">
        <f>Values!$EA10</f>
        <v>4</v>
      </c>
      <c r="AV5">
        <f>Values!$CP10</f>
        <v>3</v>
      </c>
      <c r="AW5">
        <f>Values!$DI10</f>
        <v>4</v>
      </c>
      <c r="AX5">
        <f>Values!$EB10</f>
        <v>4</v>
      </c>
      <c r="AY5">
        <f>Values!$CQ10</f>
        <v>4</v>
      </c>
      <c r="AZ5">
        <f>Values!$DJ10</f>
        <v>4</v>
      </c>
      <c r="BA5">
        <f>Values!$EC10</f>
        <v>5</v>
      </c>
      <c r="BB5">
        <f>Values!$CR10</f>
        <v>4</v>
      </c>
      <c r="BC5">
        <f>Values!$DK10</f>
        <v>5</v>
      </c>
      <c r="BD5">
        <f>Values!$ED10</f>
        <v>6</v>
      </c>
      <c r="BE5">
        <f>Values!$CS10</f>
        <v>3</v>
      </c>
      <c r="BF5">
        <f>Values!$DL10</f>
        <v>3</v>
      </c>
      <c r="BG5">
        <f>Values!$EE10</f>
        <v>4</v>
      </c>
      <c r="BH5">
        <f>Values!$CT10</f>
        <v>3</v>
      </c>
      <c r="BI5">
        <f>Values!$DM10</f>
        <v>3</v>
      </c>
      <c r="BJ5">
        <f>Values!$EF10</f>
        <v>4</v>
      </c>
      <c r="BK5">
        <f>Values!$CU10</f>
        <v>3</v>
      </c>
      <c r="BL5">
        <f>Values!$DN10</f>
        <v>4</v>
      </c>
      <c r="BM5">
        <f>Values!$EG10</f>
        <v>4</v>
      </c>
      <c r="BN5">
        <f>Values!$CV10</f>
        <v>3</v>
      </c>
      <c r="BO5">
        <f>Values!$DO10</f>
        <v>3</v>
      </c>
      <c r="BP5">
        <f>Values!$EH10</f>
        <v>5</v>
      </c>
      <c r="BQ5">
        <f>Values!$CW10</f>
        <v>2</v>
      </c>
      <c r="BR5">
        <f>Values!$DP10</f>
        <v>2</v>
      </c>
      <c r="BS5">
        <f>Values!$EI10</f>
        <v>3</v>
      </c>
      <c r="BT5">
        <f>Values!$CX10</f>
        <v>2</v>
      </c>
      <c r="BU5">
        <f>Values!$DQ10</f>
        <v>2</v>
      </c>
      <c r="BV5">
        <f>Values!$EJ10</f>
        <v>3</v>
      </c>
      <c r="BW5" t="str">
        <f>Values!$CY10</f>
        <v>NA</v>
      </c>
      <c r="BX5" t="str">
        <f>Values!$DR10</f>
        <v>NA</v>
      </c>
      <c r="BY5" t="str">
        <f>Values!$EK10</f>
        <v>NA</v>
      </c>
      <c r="BZ5">
        <f>Values!$CZ10</f>
        <v>2</v>
      </c>
      <c r="CA5">
        <f>Values!$DS10</f>
        <v>2</v>
      </c>
      <c r="CB5">
        <f>Values!$EL10</f>
        <v>3</v>
      </c>
      <c r="CC5">
        <f>Values!$DA10</f>
        <v>3</v>
      </c>
      <c r="CD5">
        <f>Values!$DT10</f>
        <v>3</v>
      </c>
      <c r="CE5">
        <f>Values!$EM10</f>
        <v>4</v>
      </c>
      <c r="CF5" t="str">
        <f>Values!$DB10</f>
        <v>NA</v>
      </c>
      <c r="CG5" t="str">
        <f>Values!$DU10</f>
        <v>NA</v>
      </c>
      <c r="CH5" t="str">
        <f>Values!$EN10</f>
        <v>NA</v>
      </c>
      <c r="CI5">
        <f>Values!$DC10</f>
        <v>2</v>
      </c>
      <c r="CJ5">
        <f>Values!$DV10</f>
        <v>2</v>
      </c>
      <c r="CK5">
        <f>Values!$EO10</f>
        <v>3</v>
      </c>
      <c r="CL5">
        <f>Values!$DD10</f>
        <v>3</v>
      </c>
      <c r="CM5">
        <f>Values!$DW10</f>
        <v>3</v>
      </c>
      <c r="CN5">
        <f>Values!$EP10</f>
        <v>5</v>
      </c>
      <c r="CO5">
        <f>Values!$DE10</f>
        <v>3</v>
      </c>
      <c r="CP5">
        <f>Values!$DX10</f>
        <v>4</v>
      </c>
      <c r="CQ5">
        <f>Values!$EQ10</f>
        <v>4</v>
      </c>
      <c r="CR5">
        <f>Values!$DF10</f>
        <v>2</v>
      </c>
      <c r="CS5">
        <f>Values!$DY10</f>
        <v>3</v>
      </c>
      <c r="CT5">
        <f>Values!$ER10</f>
        <v>3</v>
      </c>
      <c r="CU5">
        <f>Values!$DG10</f>
        <v>2</v>
      </c>
      <c r="CV5">
        <f>Values!$DZ10</f>
        <v>2</v>
      </c>
      <c r="CW5">
        <f>Values!$ES10</f>
        <v>3</v>
      </c>
      <c r="CX5">
        <f t="shared" si="16"/>
        <v>1</v>
      </c>
      <c r="CY5">
        <f t="shared" si="17"/>
        <v>0</v>
      </c>
      <c r="CZ5">
        <f t="shared" si="18"/>
        <v>1</v>
      </c>
      <c r="DA5">
        <f t="shared" si="19"/>
        <v>0</v>
      </c>
      <c r="DB5">
        <f t="shared" si="20"/>
        <v>0</v>
      </c>
      <c r="DC5">
        <f t="shared" si="21"/>
        <v>1</v>
      </c>
      <c r="DD5">
        <f t="shared" si="22"/>
        <v>1</v>
      </c>
      <c r="DE5">
        <f t="shared" si="23"/>
        <v>1</v>
      </c>
      <c r="DF5">
        <f t="shared" si="24"/>
        <v>0</v>
      </c>
      <c r="DG5">
        <f t="shared" si="25"/>
        <v>1</v>
      </c>
      <c r="DH5">
        <f t="shared" si="26"/>
        <v>0</v>
      </c>
      <c r="DI5">
        <f t="shared" si="27"/>
        <v>1</v>
      </c>
      <c r="DJ5">
        <f t="shared" si="28"/>
        <v>1</v>
      </c>
      <c r="DK5">
        <f t="shared" si="29"/>
        <v>0</v>
      </c>
      <c r="DL5">
        <f t="shared" si="30"/>
        <v>0</v>
      </c>
      <c r="DM5">
        <f t="shared" si="31"/>
        <v>2</v>
      </c>
      <c r="DN5">
        <f t="shared" si="32"/>
        <v>0</v>
      </c>
      <c r="DO5">
        <f t="shared" si="33"/>
        <v>1</v>
      </c>
      <c r="DP5">
        <f t="shared" si="34"/>
        <v>0</v>
      </c>
      <c r="DQ5">
        <f t="shared" si="35"/>
        <v>1</v>
      </c>
      <c r="DR5" t="str">
        <f t="shared" si="36"/>
        <v>NA</v>
      </c>
      <c r="DS5" t="str">
        <f t="shared" si="37"/>
        <v>NA</v>
      </c>
      <c r="DT5">
        <f t="shared" si="38"/>
        <v>0</v>
      </c>
      <c r="DU5">
        <f t="shared" si="39"/>
        <v>1</v>
      </c>
      <c r="DV5">
        <f t="shared" si="40"/>
        <v>0</v>
      </c>
      <c r="DW5">
        <f t="shared" si="41"/>
        <v>1</v>
      </c>
      <c r="DX5" t="str">
        <f t="shared" si="42"/>
        <v>NA</v>
      </c>
      <c r="DY5" t="str">
        <f t="shared" si="43"/>
        <v>NA</v>
      </c>
      <c r="DZ5">
        <f t="shared" si="44"/>
        <v>0</v>
      </c>
      <c r="EA5">
        <f t="shared" si="45"/>
        <v>1</v>
      </c>
      <c r="EB5">
        <f t="shared" si="46"/>
        <v>0</v>
      </c>
      <c r="EC5">
        <f t="shared" si="47"/>
        <v>2</v>
      </c>
      <c r="ED5">
        <f t="shared" si="48"/>
        <v>1</v>
      </c>
      <c r="EE5">
        <f t="shared" si="49"/>
        <v>0</v>
      </c>
      <c r="EF5">
        <f t="shared" si="50"/>
        <v>1</v>
      </c>
      <c r="EG5">
        <f t="shared" si="51"/>
        <v>0</v>
      </c>
      <c r="EH5">
        <f t="shared" si="52"/>
        <v>0</v>
      </c>
      <c r="EI5">
        <f t="shared" si="53"/>
        <v>1</v>
      </c>
      <c r="EJ5">
        <f>IF(ISNUMBER(Values!$AU10),--(Values!$AU10&gt;=4),0)</f>
        <v>0</v>
      </c>
      <c r="EK5">
        <f>IF(ISNUMBER(Values!$BY10),--(Values!$BY10&gt;=4),0)</f>
        <v>0</v>
      </c>
      <c r="EL5">
        <f>IF(ISNUMBER(Values!$AN10),--(Values!$AN10&gt;=4),0)</f>
        <v>0</v>
      </c>
      <c r="EM5">
        <f>IF(ISNUMBER(Values!$BR10),--(Values!$BR10&gt;=4),0)</f>
        <v>1</v>
      </c>
      <c r="EN5">
        <f>IF(ISNUMBER(Values!$BC10),--(Values!$BC10&gt;=4),0)</f>
        <v>0</v>
      </c>
      <c r="EO5">
        <f>IF(ISNUMBER(Values!$CG10),--(Values!$CG10&gt;=4),0)</f>
        <v>1</v>
      </c>
      <c r="EP5">
        <f>IF(ISNUMBER(Values!$BJ10),--(Values!$BJ10&gt;=4),0)</f>
        <v>0</v>
      </c>
      <c r="EQ5">
        <f>IF(ISNUMBER(Values!$CN10),--(Values!$CN10&gt;=4),0)</f>
        <v>0</v>
      </c>
      <c r="ER5">
        <f>IF(ISNUMBER(Values!$BG10),--(Values!$BG10&gt;=4),0)</f>
        <v>1</v>
      </c>
      <c r="ES5">
        <f>IF(ISNUMBER(Values!$CK10),--(Values!$CK10&gt;=4),0)</f>
        <v>0</v>
      </c>
      <c r="ET5">
        <f>Values!$ET10</f>
        <v>0</v>
      </c>
      <c r="EU5">
        <f>Values!$FA10</f>
        <v>0</v>
      </c>
      <c r="EV5">
        <f>Values!$FH10</f>
        <v>0</v>
      </c>
      <c r="EW5">
        <f>Values!$EU10</f>
        <v>1</v>
      </c>
      <c r="EX5">
        <f>Values!$FB10</f>
        <v>1</v>
      </c>
      <c r="EY5">
        <f>Values!$FI10</f>
        <v>1</v>
      </c>
      <c r="EZ5">
        <f>Values!$EV10</f>
        <v>0</v>
      </c>
      <c r="FA5">
        <f>Values!$FC10</f>
        <v>1</v>
      </c>
      <c r="FB5">
        <f>Values!$FJ10</f>
        <v>1</v>
      </c>
      <c r="FC5">
        <f>Values!$EW10</f>
        <v>0</v>
      </c>
      <c r="FD5">
        <f>Values!$FD10</f>
        <v>0</v>
      </c>
      <c r="FE5">
        <f>Values!$FK10</f>
        <v>0</v>
      </c>
      <c r="FF5">
        <f>Values!$EX10</f>
        <v>0</v>
      </c>
      <c r="FG5">
        <f>Values!$FE10</f>
        <v>0</v>
      </c>
      <c r="FH5">
        <f>Values!$FL10</f>
        <v>0</v>
      </c>
      <c r="FI5">
        <f>Values!$EY10</f>
        <v>0</v>
      </c>
      <c r="FJ5">
        <f>Values!$FF10</f>
        <v>0</v>
      </c>
      <c r="FK5">
        <f>Values!$FM10</f>
        <v>0</v>
      </c>
      <c r="FL5">
        <f>Values!$EZ10</f>
        <v>0</v>
      </c>
      <c r="FM5">
        <f>Values!$FG10</f>
        <v>0</v>
      </c>
      <c r="FN5">
        <f>Values!$FN10</f>
        <v>1</v>
      </c>
      <c r="FO5">
        <f t="shared" si="54"/>
        <v>0</v>
      </c>
      <c r="FP5">
        <f t="shared" si="55"/>
        <v>1</v>
      </c>
      <c r="FQ5">
        <f t="shared" si="56"/>
        <v>0</v>
      </c>
      <c r="FR5">
        <f t="shared" si="57"/>
        <v>0</v>
      </c>
      <c r="FS5">
        <f t="shared" si="58"/>
        <v>0</v>
      </c>
      <c r="FT5">
        <f t="shared" si="59"/>
        <v>0</v>
      </c>
      <c r="FU5">
        <f>Values!$FP10</f>
        <v>0</v>
      </c>
      <c r="FV5">
        <f>Values!$FQ10</f>
        <v>0</v>
      </c>
      <c r="FW5">
        <f>Values!$FR10</f>
        <v>1</v>
      </c>
      <c r="FX5">
        <f>Values!$FS10</f>
        <v>1</v>
      </c>
      <c r="FY5">
        <f>Values!$FT10</f>
        <v>0</v>
      </c>
      <c r="FZ5">
        <f>Values!$FU10</f>
        <v>0</v>
      </c>
      <c r="GA5">
        <f t="shared" si="60"/>
        <v>0</v>
      </c>
      <c r="GB5">
        <f t="shared" si="61"/>
        <v>0</v>
      </c>
      <c r="GC5">
        <f t="shared" si="62"/>
        <v>1</v>
      </c>
      <c r="GD5">
        <f t="shared" si="63"/>
        <v>1</v>
      </c>
      <c r="GE5">
        <f t="shared" si="64"/>
        <v>0</v>
      </c>
      <c r="GF5">
        <f t="shared" si="65"/>
        <v>0</v>
      </c>
      <c r="GG5">
        <f t="array" ref="GG5">IF(_xlfn.TEXTJOIN(";",TRUE,IF((Values!$B$2:$FU$2="item")*(Values!$B10:$FU10=""),Values!$B$5:$FU$5,""))="",0,_xlfn.TEXTJOIN(";",TRUE,IF((Values!$B$2:$FU$2="item")*(Values!$B10:$FU10=""),Values!$B$5:$FU$5,"")))</f>
        <v>0</v>
      </c>
      <c r="GH5">
        <f t="shared" si="66"/>
        <v>0</v>
      </c>
      <c r="GI5">
        <f t="shared" si="67"/>
        <v>0</v>
      </c>
      <c r="GJ5">
        <f t="shared" si="68"/>
        <v>0</v>
      </c>
      <c r="GK5">
        <f t="shared" si="69"/>
        <v>0</v>
      </c>
      <c r="GL5">
        <f>Pattern!$W5</f>
        <v>0</v>
      </c>
      <c r="GM5">
        <f>Pattern!$AS5</f>
        <v>0</v>
      </c>
      <c r="GN5">
        <f>Pattern!$BO5</f>
        <v>0</v>
      </c>
      <c r="GO5">
        <f>Pattern!$BQ5</f>
        <v>0</v>
      </c>
      <c r="GP5">
        <f>Pattern!$S5</f>
        <v>3</v>
      </c>
      <c r="GQ5">
        <f>Pattern!$AO5</f>
        <v>3</v>
      </c>
      <c r="GR5">
        <f>Pattern!$BK5</f>
        <v>3</v>
      </c>
      <c r="GS5">
        <f>Pattern!$V5</f>
        <v>0.6470588235294118</v>
      </c>
      <c r="GT5">
        <f>Pattern!$AR5</f>
        <v>0.43333333333333335</v>
      </c>
      <c r="GU5">
        <f>Pattern!$BN5</f>
        <v>0.53333333333333333</v>
      </c>
      <c r="GV5">
        <f>Pattern!$T5</f>
        <v>3</v>
      </c>
      <c r="GW5">
        <f>Pattern!$AP5</f>
        <v>2</v>
      </c>
      <c r="GX5">
        <f>Pattern!$BL5</f>
        <v>4</v>
      </c>
      <c r="GY5">
        <f>Pattern!$BP5</f>
        <v>12</v>
      </c>
      <c r="GZ5">
        <f>Values!$X10</f>
        <v>3</v>
      </c>
      <c r="HA5">
        <f>Values!$AC10</f>
        <v>3</v>
      </c>
      <c r="HB5">
        <f>Values!$K10</f>
        <v>3</v>
      </c>
      <c r="HC5">
        <f>Values!$G10</f>
        <v>2</v>
      </c>
      <c r="HD5">
        <f>Values!$AA10</f>
        <v>3</v>
      </c>
      <c r="HE5">
        <f>Values!$S10</f>
        <v>3</v>
      </c>
      <c r="HF5">
        <f>Values!$Y10</f>
        <v>2</v>
      </c>
      <c r="HG5">
        <f>Values!$AE10</f>
        <v>2</v>
      </c>
      <c r="HH5">
        <f>Values!$N10</f>
        <v>3</v>
      </c>
      <c r="HI5">
        <f>Values!$I10</f>
        <v>4</v>
      </c>
      <c r="HJ5">
        <f>Values!$M10</f>
        <v>3</v>
      </c>
      <c r="HK5">
        <f>Values!$AB10</f>
        <v>3</v>
      </c>
      <c r="HL5">
        <f>Values!$Q10</f>
        <v>3</v>
      </c>
      <c r="HM5">
        <f>Values!$T10</f>
        <v>3</v>
      </c>
      <c r="HN5">
        <f>Values!$W10</f>
        <v>2</v>
      </c>
      <c r="HO5">
        <f>Values!$H10</f>
        <v>3</v>
      </c>
      <c r="HP5">
        <f>Values!$L10</f>
        <v>3</v>
      </c>
      <c r="HQ5">
        <f>Values!$O10</f>
        <v>3</v>
      </c>
      <c r="HR5">
        <f>Values!$R10</f>
        <v>3</v>
      </c>
      <c r="HS5">
        <f>Values!$U10</f>
        <v>3</v>
      </c>
      <c r="HT5">
        <f>Values!$Z10</f>
        <v>2</v>
      </c>
      <c r="HU5">
        <f>Values!$AF10</f>
        <v>3</v>
      </c>
      <c r="HV5">
        <f>Values!$AD10</f>
        <v>3</v>
      </c>
      <c r="HW5">
        <f>Values!$J10</f>
        <v>4</v>
      </c>
      <c r="HX5">
        <f>Values!$P10</f>
        <v>2</v>
      </c>
      <c r="HY5">
        <f>Values!$V10</f>
        <v>4</v>
      </c>
      <c r="HZ5">
        <f>Values!$AG10</f>
        <v>3</v>
      </c>
      <c r="IA5">
        <f>Values!$BK10</f>
        <v>5</v>
      </c>
      <c r="IB5">
        <f>Values!$AO10</f>
        <v>3</v>
      </c>
      <c r="IC5">
        <f>Values!$BS10</f>
        <v>4</v>
      </c>
      <c r="ID5">
        <f>Values!$BB10</f>
        <v>3</v>
      </c>
      <c r="IE5">
        <f>Values!$CF10</f>
        <v>1</v>
      </c>
      <c r="IF5">
        <f>Values!$AH10</f>
        <v>3</v>
      </c>
      <c r="IG5">
        <f>Values!$BL10</f>
        <v>3</v>
      </c>
      <c r="IH5">
        <f>Values!$AS10</f>
        <v>2</v>
      </c>
      <c r="II5">
        <f>Values!$BW10</f>
        <v>2</v>
      </c>
      <c r="IJ5">
        <f>Values!$BA10</f>
        <v>4</v>
      </c>
      <c r="IK5">
        <f>Values!$CE10</f>
        <v>3</v>
      </c>
      <c r="IL5">
        <f>Values!$AM10</f>
        <v>3</v>
      </c>
      <c r="IM5">
        <f>Values!$BQ10</f>
        <v>4</v>
      </c>
      <c r="IN5">
        <f>Values!$AV10</f>
        <v>3</v>
      </c>
      <c r="IO5">
        <f>Values!$BZ10</f>
        <v>4</v>
      </c>
      <c r="IP5">
        <f>Values!$BF10</f>
        <v>2</v>
      </c>
      <c r="IQ5">
        <f>Values!$CJ10</f>
        <v>1</v>
      </c>
      <c r="IR5">
        <f>Values!$AJ10</f>
        <v>4</v>
      </c>
      <c r="IS5">
        <f>Values!$BN10</f>
        <v>3</v>
      </c>
      <c r="IT5">
        <f>Values!$AQ10</f>
        <v>4</v>
      </c>
      <c r="IU5">
        <f>Values!$BU10</f>
        <v>3</v>
      </c>
      <c r="IV5">
        <f>Values!$AX10</f>
        <v>4</v>
      </c>
      <c r="IW5">
        <f>Values!$CB10</f>
        <v>3</v>
      </c>
      <c r="IX5">
        <f>Values!$BE10</f>
        <v>3</v>
      </c>
      <c r="IY5">
        <f>Values!$CI10</f>
        <v>3</v>
      </c>
      <c r="IZ5">
        <f>Values!$BI10</f>
        <v>2</v>
      </c>
      <c r="JA5">
        <f>Values!$CM10</f>
        <v>3</v>
      </c>
      <c r="JB5">
        <f>Values!$AI10</f>
        <v>3</v>
      </c>
      <c r="JC5">
        <f>Values!$BM10</f>
        <v>3</v>
      </c>
      <c r="JD5">
        <f>Values!$AP10</f>
        <v>3</v>
      </c>
      <c r="JE5">
        <f>Values!$BT10</f>
        <v>3</v>
      </c>
      <c r="JF5">
        <f>Values!$AW10</f>
        <v>3</v>
      </c>
      <c r="JG5">
        <f>Values!$CA10</f>
        <v>3</v>
      </c>
      <c r="JH5">
        <f>Values!$BD10</f>
        <v>3</v>
      </c>
      <c r="JI5">
        <f>Values!$CH10</f>
        <v>3</v>
      </c>
      <c r="JJ5">
        <f>Values!$BH10</f>
        <v>3</v>
      </c>
      <c r="JK5">
        <f>Values!$CL10</f>
        <v>3</v>
      </c>
      <c r="JL5">
        <f>Values!$AK10</f>
        <v>2</v>
      </c>
      <c r="JM5">
        <f>Values!$BO10</f>
        <v>3</v>
      </c>
      <c r="JN5">
        <f>Values!$AR10</f>
        <v>4</v>
      </c>
      <c r="JO5">
        <f>Values!$BV10</f>
        <v>3</v>
      </c>
      <c r="JP5">
        <f>Values!$AY10</f>
        <v>3</v>
      </c>
      <c r="JQ5">
        <f>Values!$CC10</f>
        <v>4</v>
      </c>
      <c r="JR5">
        <f>Values!$AL10</f>
        <v>4</v>
      </c>
      <c r="JS5">
        <f>Values!$BP10</f>
        <v>4</v>
      </c>
      <c r="JT5">
        <f>Values!$AT10</f>
        <v>2</v>
      </c>
      <c r="JU5">
        <f>Values!$BX10</f>
        <v>3</v>
      </c>
      <c r="JV5">
        <f>Values!$AZ10</f>
        <v>4</v>
      </c>
      <c r="JW5">
        <f>Values!$CD10</f>
        <v>4</v>
      </c>
      <c r="JX5">
        <f>Values!$AU10</f>
        <v>2</v>
      </c>
      <c r="JY5">
        <f>Values!$BY10</f>
        <v>2</v>
      </c>
      <c r="JZ5">
        <f>Values!$AN10</f>
        <v>2</v>
      </c>
      <c r="KA5">
        <f>Values!$BR10</f>
        <v>4</v>
      </c>
      <c r="KB5">
        <f>Values!$BC10</f>
        <v>2</v>
      </c>
      <c r="KC5">
        <f>Values!$CG10</f>
        <v>4</v>
      </c>
      <c r="KD5">
        <f>Values!$BJ10</f>
        <v>2</v>
      </c>
      <c r="KE5">
        <f>Values!$CN10</f>
        <v>2</v>
      </c>
      <c r="KF5">
        <f>Values!$BG10</f>
        <v>4</v>
      </c>
      <c r="KG5">
        <f>Values!$CK10</f>
        <v>3</v>
      </c>
    </row>
    <row r="6" spans="1:293" x14ac:dyDescent="0.45">
      <c r="A6">
        <f t="shared" si="0"/>
        <v>1</v>
      </c>
      <c r="B6" t="str">
        <f>Values!$A$11</f>
        <v>Sofia Marchetti</v>
      </c>
      <c r="C6" t="str">
        <f>TEXT(Responses!$C$6,"yyyy-mm-dd")</f>
        <v>2026-09-16</v>
      </c>
      <c r="D6">
        <f t="shared" si="1"/>
        <v>9</v>
      </c>
      <c r="E6">
        <f>Values!$B11</f>
        <v>3</v>
      </c>
      <c r="F6">
        <f>Values!$C11</f>
        <v>1</v>
      </c>
      <c r="G6">
        <f>Values!$D11</f>
        <v>4</v>
      </c>
      <c r="H6">
        <f>Values!$E11</f>
        <v>2</v>
      </c>
      <c r="I6">
        <f>Values!$F11</f>
        <v>1</v>
      </c>
      <c r="J6">
        <f>IF(COUNT(Values!$X11,Values!$AC11,Values!$K11)&lt;3,NA(),AVERAGE(Values!$X11,Values!$AC11,6-Values!$K11))</f>
        <v>2.3333333333333335</v>
      </c>
      <c r="K6">
        <f>IF(COUNT(Values!$AG11,Values!$AO11,Values!$BB11)&lt;3,NA(),AVERAGE(Values!$AG11,Values!$AO11,6-Values!$BB11))</f>
        <v>4</v>
      </c>
      <c r="L6">
        <f>IF(COUNT(Values!$BK11,Values!$BS11,Values!$CF11)&lt;3,NA(),AVERAGE(Values!$BK11,Values!$BS11,6-Values!$CF11))</f>
        <v>4.333333333333333</v>
      </c>
      <c r="M6">
        <f>IF(COUNT(Values!$G11,Values!$AA11,Values!$S11)&lt;3,NA(),AVERAGE(Values!$G11,6-Values!$AA11,Values!$S11))</f>
        <v>2.3333333333333335</v>
      </c>
      <c r="N6">
        <f>IF(COUNT(Values!$AH11,Values!$AS11,Values!$BA11)&lt;3,NA(),AVERAGE(Values!$AH11,6-Values!$AS11,Values!$BA11))</f>
        <v>4</v>
      </c>
      <c r="O6">
        <f>IF(COUNT(Values!$BL11,Values!$BW11,Values!$CE11)&lt;3,NA(),AVERAGE(Values!$BL11,6-Values!$BW11,Values!$CE11))</f>
        <v>3.6666666666666665</v>
      </c>
      <c r="P6">
        <f>IF(COUNT(Values!$Y11,Values!$AE11,Values!$N11)&lt;3,NA(),AVERAGE(Values!$Y11,Values!$AE11,6-Values!$N11))</f>
        <v>2.3333333333333335</v>
      </c>
      <c r="Q6">
        <f>IF(COUNT(Values!$AM11,Values!$AV11,Values!$BF11)&lt;3,NA(),AVERAGE(Values!$AM11,Values!$AV11,6-Values!$BF11))</f>
        <v>4.333333333333333</v>
      </c>
      <c r="R6">
        <f>IF(COUNT(Values!$BQ11,Values!$BZ11,Values!$CJ11)&lt;3,NA(),AVERAGE(Values!$BQ11,Values!$BZ11,6-Values!$CJ11))</f>
        <v>4</v>
      </c>
      <c r="S6">
        <f>IF(COUNT(Values!$I11,Values!$M11,Values!$AB11,Values!$Q11,Values!$T11,Values!$W11)&lt;6,NA(),AVERAGE(Values!$I11,AVERAGE(Values!$M11,Values!$AB11),Values!$Q11,Values!$T11,6-Values!$W11))</f>
        <v>3.4</v>
      </c>
      <c r="T6">
        <f>IF(COUNT(Values!$AJ11,Values!$AQ11,Values!$AX11,Values!$BE11,Values!$BI11)&lt;5,NA(),AVERAGE(Values!$AJ11,Values!$AQ11,Values!$AX11,Values!$BE11,6-Values!$BI11))</f>
        <v>3</v>
      </c>
      <c r="U6">
        <f>IF(COUNT(Values!$BN11,Values!$BU11,Values!$CB11,Values!$CI11,Values!$CM11)&lt;5,NA(),AVERAGE(Values!$BN11,Values!$BU11,Values!$CB11,Values!$CI11,6-Values!$CM11))</f>
        <v>3</v>
      </c>
      <c r="V6">
        <f>IF(COUNT(Values!$H11,Values!$L11,Values!$O11,Values!$R11,Values!$U11)&lt;5,NA(),AVERAGE(Values!$H11,Values!$L11,Values!$O11,6-Values!$R11,Values!$U11))</f>
        <v>3.4</v>
      </c>
      <c r="W6">
        <f>IF(COUNT(Values!$AI11,Values!$AP11,Values!$AW11,Values!$BD11,Values!$BH11)&lt;5,NA(),AVERAGE(Values!$AI11,Values!$AP11,Values!$AW11,6-Values!$BD11,Values!$BH11))</f>
        <v>2.8</v>
      </c>
      <c r="X6">
        <f>IF(COUNT(Values!$BM11,Values!$BT11,Values!$CA11,Values!$CH11,Values!$CL11)&lt;5,NA(),AVERAGE(Values!$BM11,Values!$BT11,Values!$CA11,6-Values!$CH11,Values!$CL11))</f>
        <v>3.2</v>
      </c>
      <c r="Y6">
        <f>IF(COUNT(Values!$Z11,Values!$AF11,Values!$AD11)&lt;3,NA(),AVERAGE(Values!$Z11,6-Values!$AF11,Values!$AD11))</f>
        <v>2</v>
      </c>
      <c r="Z6">
        <f>IF(COUNT(Values!$AK11,Values!$AR11,Values!$AY11)&lt;3,NA(),AVERAGE(Values!$AK11,6-Values!$AR11,Values!$AY11))</f>
        <v>4</v>
      </c>
      <c r="AA6">
        <f>IF(COUNT(Values!$BO11,Values!$BV11,Values!$CC11)&lt;3,NA(),AVERAGE(Values!$BO11,6-Values!$BV11,Values!$CC11))</f>
        <v>4</v>
      </c>
      <c r="AB6">
        <f>IF(COUNT(Values!$J11,Values!$P11,Values!$V11)&lt;3,NA(),AVERAGE(Values!$J11,6-Values!$P11,Values!$V11))</f>
        <v>3.3333333333333335</v>
      </c>
      <c r="AC6">
        <f>IF(COUNT(Values!$AL11,Values!$AT11,Values!$AZ11)&lt;3,NA(),AVERAGE(Values!$AL11,6-Values!$AT11,Values!$AZ11))</f>
        <v>3</v>
      </c>
      <c r="AD6">
        <f>IF(COUNT(Values!$BP11,Values!$BX11,Values!$CD11)&lt;3,NA(),AVERAGE(Values!$BP11,6-Values!$BX11,Values!$CD11))</f>
        <v>4</v>
      </c>
      <c r="AE6">
        <f t="shared" si="2"/>
        <v>1.6666666666666665</v>
      </c>
      <c r="AF6">
        <f t="shared" si="3"/>
        <v>0.33333333333333304</v>
      </c>
      <c r="AG6">
        <f t="shared" si="4"/>
        <v>1.6666666666666665</v>
      </c>
      <c r="AH6">
        <f t="shared" si="5"/>
        <v>-0.33333333333333348</v>
      </c>
      <c r="AI6">
        <f t="shared" si="6"/>
        <v>1.9999999999999996</v>
      </c>
      <c r="AJ6">
        <f t="shared" si="7"/>
        <v>-0.33333333333333304</v>
      </c>
      <c r="AK6">
        <f t="shared" si="8"/>
        <v>-0.39999999999999991</v>
      </c>
      <c r="AL6">
        <f t="shared" si="9"/>
        <v>0</v>
      </c>
      <c r="AM6">
        <f t="shared" si="10"/>
        <v>-0.60000000000000009</v>
      </c>
      <c r="AN6">
        <f t="shared" si="11"/>
        <v>0.40000000000000036</v>
      </c>
      <c r="AO6">
        <f t="shared" si="12"/>
        <v>2</v>
      </c>
      <c r="AP6">
        <f t="shared" si="13"/>
        <v>0</v>
      </c>
      <c r="AQ6">
        <f t="shared" si="14"/>
        <v>-0.33333333333333348</v>
      </c>
      <c r="AR6">
        <f t="shared" si="15"/>
        <v>1</v>
      </c>
      <c r="AS6">
        <f>Values!$CO11</f>
        <v>4</v>
      </c>
      <c r="AT6">
        <f>Values!$DH11</f>
        <v>6</v>
      </c>
      <c r="AU6">
        <f>Values!$EA11</f>
        <v>5</v>
      </c>
      <c r="AV6">
        <f>Values!$CP11</f>
        <v>3</v>
      </c>
      <c r="AW6">
        <f>Values!$DI11</f>
        <v>5</v>
      </c>
      <c r="AX6">
        <f>Values!$EB11</f>
        <v>4</v>
      </c>
      <c r="AY6">
        <f>Values!$CQ11</f>
        <v>3</v>
      </c>
      <c r="AZ6">
        <f>Values!$DJ11</f>
        <v>4</v>
      </c>
      <c r="BA6">
        <f>Values!$EC11</f>
        <v>4</v>
      </c>
      <c r="BB6">
        <f>Values!$CR11</f>
        <v>2</v>
      </c>
      <c r="BC6">
        <f>Values!$DK11</f>
        <v>3</v>
      </c>
      <c r="BD6">
        <f>Values!$ED11</f>
        <v>3</v>
      </c>
      <c r="BE6">
        <f>Values!$CS11</f>
        <v>2</v>
      </c>
      <c r="BF6">
        <f>Values!$DL11</f>
        <v>3</v>
      </c>
      <c r="BG6">
        <f>Values!$EE11</f>
        <v>3</v>
      </c>
      <c r="BH6">
        <f>Values!$CT11</f>
        <v>3</v>
      </c>
      <c r="BI6">
        <f>Values!$DM11</f>
        <v>4</v>
      </c>
      <c r="BJ6">
        <f>Values!$EF11</f>
        <v>4</v>
      </c>
      <c r="BK6">
        <f>Values!$CU11</f>
        <v>3</v>
      </c>
      <c r="BL6">
        <f>Values!$DN11</f>
        <v>4</v>
      </c>
      <c r="BM6">
        <f>Values!$EG11</f>
        <v>4</v>
      </c>
      <c r="BN6">
        <f>Values!$CV11</f>
        <v>3</v>
      </c>
      <c r="BO6">
        <f>Values!$DO11</f>
        <v>4</v>
      </c>
      <c r="BP6">
        <f>Values!$EH11</f>
        <v>5</v>
      </c>
      <c r="BQ6">
        <f>Values!$CW11</f>
        <v>3</v>
      </c>
      <c r="BR6">
        <f>Values!$DP11</f>
        <v>4</v>
      </c>
      <c r="BS6">
        <f>Values!$EI11</f>
        <v>5</v>
      </c>
      <c r="BT6" t="str">
        <f>Values!$CX11</f>
        <v>NA</v>
      </c>
      <c r="BU6" t="str">
        <f>Values!$DQ11</f>
        <v>NA</v>
      </c>
      <c r="BV6" t="str">
        <f>Values!$EJ11</f>
        <v>NA</v>
      </c>
      <c r="BW6">
        <f>Values!$CY11</f>
        <v>3</v>
      </c>
      <c r="BX6">
        <f>Values!$DR11</f>
        <v>4</v>
      </c>
      <c r="BY6">
        <f>Values!$EK11</f>
        <v>4</v>
      </c>
      <c r="BZ6">
        <f>Values!$CZ11</f>
        <v>3</v>
      </c>
      <c r="CA6">
        <f>Values!$DS11</f>
        <v>4</v>
      </c>
      <c r="CB6">
        <f>Values!$EL11</f>
        <v>4</v>
      </c>
      <c r="CC6">
        <f>Values!$DA11</f>
        <v>2</v>
      </c>
      <c r="CD6">
        <f>Values!$DT11</f>
        <v>3</v>
      </c>
      <c r="CE6">
        <f>Values!$EM11</f>
        <v>4</v>
      </c>
      <c r="CF6" t="str">
        <f>Values!$DB11</f>
        <v>NA</v>
      </c>
      <c r="CG6">
        <f>Values!$DU11</f>
        <v>3</v>
      </c>
      <c r="CH6">
        <f>Values!$EN11</f>
        <v>3</v>
      </c>
      <c r="CI6">
        <f>Values!$DC11</f>
        <v>2</v>
      </c>
      <c r="CJ6">
        <f>Values!$DV11</f>
        <v>3</v>
      </c>
      <c r="CK6">
        <f>Values!$EO11</f>
        <v>4</v>
      </c>
      <c r="CL6">
        <f>Values!$DD11</f>
        <v>3</v>
      </c>
      <c r="CM6">
        <f>Values!$DW11</f>
        <v>5</v>
      </c>
      <c r="CN6">
        <f>Values!$EP11</f>
        <v>4</v>
      </c>
      <c r="CO6">
        <f>Values!$DE11</f>
        <v>3</v>
      </c>
      <c r="CP6">
        <f>Values!$DX11</f>
        <v>4</v>
      </c>
      <c r="CQ6">
        <f>Values!$EQ11</f>
        <v>4</v>
      </c>
      <c r="CR6">
        <f>Values!$DF11</f>
        <v>2</v>
      </c>
      <c r="CS6">
        <f>Values!$DY11</f>
        <v>3</v>
      </c>
      <c r="CT6">
        <f>Values!$ER11</f>
        <v>4</v>
      </c>
      <c r="CU6">
        <f>Values!$DG11</f>
        <v>3</v>
      </c>
      <c r="CV6">
        <f>Values!$DZ11</f>
        <v>5</v>
      </c>
      <c r="CW6">
        <f>Values!$ES11</f>
        <v>5</v>
      </c>
      <c r="CX6">
        <f t="shared" si="16"/>
        <v>2</v>
      </c>
      <c r="CY6">
        <f t="shared" si="17"/>
        <v>-1</v>
      </c>
      <c r="CZ6">
        <f t="shared" si="18"/>
        <v>2</v>
      </c>
      <c r="DA6">
        <f t="shared" si="19"/>
        <v>-1</v>
      </c>
      <c r="DB6">
        <f t="shared" si="20"/>
        <v>1</v>
      </c>
      <c r="DC6">
        <f t="shared" si="21"/>
        <v>0</v>
      </c>
      <c r="DD6">
        <f t="shared" si="22"/>
        <v>1</v>
      </c>
      <c r="DE6">
        <f t="shared" si="23"/>
        <v>0</v>
      </c>
      <c r="DF6">
        <f t="shared" si="24"/>
        <v>1</v>
      </c>
      <c r="DG6">
        <f t="shared" si="25"/>
        <v>0</v>
      </c>
      <c r="DH6">
        <f t="shared" si="26"/>
        <v>1</v>
      </c>
      <c r="DI6">
        <f t="shared" si="27"/>
        <v>0</v>
      </c>
      <c r="DJ6">
        <f t="shared" si="28"/>
        <v>1</v>
      </c>
      <c r="DK6">
        <f t="shared" si="29"/>
        <v>0</v>
      </c>
      <c r="DL6">
        <f t="shared" si="30"/>
        <v>1</v>
      </c>
      <c r="DM6">
        <f t="shared" si="31"/>
        <v>1</v>
      </c>
      <c r="DN6">
        <f t="shared" si="32"/>
        <v>1</v>
      </c>
      <c r="DO6">
        <f t="shared" si="33"/>
        <v>1</v>
      </c>
      <c r="DP6" t="str">
        <f t="shared" si="34"/>
        <v>NA</v>
      </c>
      <c r="DQ6" t="str">
        <f t="shared" si="35"/>
        <v>NA</v>
      </c>
      <c r="DR6">
        <f t="shared" si="36"/>
        <v>1</v>
      </c>
      <c r="DS6">
        <f t="shared" si="37"/>
        <v>0</v>
      </c>
      <c r="DT6">
        <f t="shared" si="38"/>
        <v>1</v>
      </c>
      <c r="DU6">
        <f t="shared" si="39"/>
        <v>0</v>
      </c>
      <c r="DV6">
        <f t="shared" si="40"/>
        <v>1</v>
      </c>
      <c r="DW6">
        <f t="shared" si="41"/>
        <v>1</v>
      </c>
      <c r="DX6" t="str">
        <f t="shared" si="42"/>
        <v>NA</v>
      </c>
      <c r="DY6">
        <f t="shared" si="43"/>
        <v>0</v>
      </c>
      <c r="DZ6">
        <f t="shared" si="44"/>
        <v>1</v>
      </c>
      <c r="EA6">
        <f t="shared" si="45"/>
        <v>1</v>
      </c>
      <c r="EB6">
        <f t="shared" si="46"/>
        <v>2</v>
      </c>
      <c r="EC6">
        <f t="shared" si="47"/>
        <v>-1</v>
      </c>
      <c r="ED6">
        <f t="shared" si="48"/>
        <v>1</v>
      </c>
      <c r="EE6">
        <f t="shared" si="49"/>
        <v>0</v>
      </c>
      <c r="EF6">
        <f t="shared" si="50"/>
        <v>1</v>
      </c>
      <c r="EG6">
        <f t="shared" si="51"/>
        <v>1</v>
      </c>
      <c r="EH6">
        <f t="shared" si="52"/>
        <v>2</v>
      </c>
      <c r="EI6">
        <f t="shared" si="53"/>
        <v>0</v>
      </c>
      <c r="EJ6">
        <f>IF(ISNUMBER(Values!$AU11),--(Values!$AU11&gt;=4),0)</f>
        <v>0</v>
      </c>
      <c r="EK6">
        <f>IF(ISNUMBER(Values!$BY11),--(Values!$BY11&gt;=4),0)</f>
        <v>0</v>
      </c>
      <c r="EL6">
        <f>IF(ISNUMBER(Values!$AN11),--(Values!$AN11&gt;=4),0)</f>
        <v>0</v>
      </c>
      <c r="EM6">
        <f>IF(ISNUMBER(Values!$BR11),--(Values!$BR11&gt;=4),0)</f>
        <v>0</v>
      </c>
      <c r="EN6">
        <f>IF(ISNUMBER(Values!$BC11),--(Values!$BC11&gt;=4),0)</f>
        <v>0</v>
      </c>
      <c r="EO6">
        <f>IF(ISNUMBER(Values!$CG11),--(Values!$CG11&gt;=4),0)</f>
        <v>0</v>
      </c>
      <c r="EP6">
        <f>IF(ISNUMBER(Values!$BJ11),--(Values!$BJ11&gt;=4),0)</f>
        <v>0</v>
      </c>
      <c r="EQ6">
        <f>IF(ISNUMBER(Values!$CN11),--(Values!$CN11&gt;=4),0)</f>
        <v>0</v>
      </c>
      <c r="ER6">
        <f>IF(ISNUMBER(Values!$BG11),--(Values!$BG11&gt;=4),0)</f>
        <v>0</v>
      </c>
      <c r="ES6">
        <f>IF(ISNUMBER(Values!$CK11),--(Values!$CK11&gt;=4),0)</f>
        <v>0</v>
      </c>
      <c r="ET6">
        <f>Values!$ET11</f>
        <v>0</v>
      </c>
      <c r="EU6">
        <f>Values!$FA11</f>
        <v>1</v>
      </c>
      <c r="EV6">
        <f>Values!$FH11</f>
        <v>0</v>
      </c>
      <c r="EW6">
        <f>Values!$EU11</f>
        <v>1</v>
      </c>
      <c r="EX6">
        <f>Values!$FB11</f>
        <v>0</v>
      </c>
      <c r="EY6">
        <f>Values!$FI11</f>
        <v>0</v>
      </c>
      <c r="EZ6">
        <f>Values!$EV11</f>
        <v>0</v>
      </c>
      <c r="FA6">
        <f>Values!$FC11</f>
        <v>1</v>
      </c>
      <c r="FB6">
        <f>Values!$FJ11</f>
        <v>1</v>
      </c>
      <c r="FC6">
        <f>Values!$EW11</f>
        <v>0</v>
      </c>
      <c r="FD6">
        <f>Values!$FD11</f>
        <v>0</v>
      </c>
      <c r="FE6">
        <f>Values!$FK11</f>
        <v>1</v>
      </c>
      <c r="FF6">
        <f>Values!$EX11</f>
        <v>0</v>
      </c>
      <c r="FG6">
        <f>Values!$FE11</f>
        <v>0</v>
      </c>
      <c r="FH6">
        <f>Values!$FL11</f>
        <v>0</v>
      </c>
      <c r="FI6">
        <f>Values!$EY11</f>
        <v>0</v>
      </c>
      <c r="FJ6">
        <f>Values!$FF11</f>
        <v>0</v>
      </c>
      <c r="FK6">
        <f>Values!$FM11</f>
        <v>0</v>
      </c>
      <c r="FL6">
        <f>Values!$EZ11</f>
        <v>0</v>
      </c>
      <c r="FM6">
        <f>Values!$FG11</f>
        <v>0</v>
      </c>
      <c r="FN6">
        <f>Values!$FN11</f>
        <v>0</v>
      </c>
      <c r="FO6" t="str">
        <f t="shared" si="54"/>
        <v>NA</v>
      </c>
      <c r="FP6" t="str">
        <f t="shared" si="55"/>
        <v>NA</v>
      </c>
      <c r="FQ6" t="str">
        <f t="shared" si="56"/>
        <v>NA</v>
      </c>
      <c r="FR6" t="str">
        <f t="shared" si="57"/>
        <v>NA</v>
      </c>
      <c r="FS6" t="str">
        <f t="shared" si="58"/>
        <v>NA</v>
      </c>
      <c r="FT6" t="str">
        <f t="shared" si="59"/>
        <v>NA</v>
      </c>
      <c r="FU6">
        <f>Values!$FP11</f>
        <v>0</v>
      </c>
      <c r="FV6">
        <f>Values!$FQ11</f>
        <v>0</v>
      </c>
      <c r="FW6">
        <f>Values!$FR11</f>
        <v>0</v>
      </c>
      <c r="FX6">
        <f>Values!$FS11</f>
        <v>1</v>
      </c>
      <c r="FY6">
        <f>Values!$FT11</f>
        <v>1</v>
      </c>
      <c r="FZ6">
        <f>Values!$FU11</f>
        <v>0</v>
      </c>
      <c r="GA6">
        <f t="shared" si="60"/>
        <v>0</v>
      </c>
      <c r="GB6">
        <f t="shared" si="61"/>
        <v>0</v>
      </c>
      <c r="GC6">
        <f t="shared" si="62"/>
        <v>0</v>
      </c>
      <c r="GD6">
        <f t="shared" si="63"/>
        <v>1</v>
      </c>
      <c r="GE6">
        <f t="shared" si="64"/>
        <v>1</v>
      </c>
      <c r="GF6">
        <f t="shared" si="65"/>
        <v>0</v>
      </c>
      <c r="GG6">
        <f t="array" ref="GG6">IF(_xlfn.TEXTJOIN(";",TRUE,IF((Values!$B$2:$FU$2="item")*(Values!$B11:$FU11=""),Values!$B$5:$FU$5,""))="",0,_xlfn.TEXTJOIN(";",TRUE,IF((Values!$B$2:$FU$2="item")*(Values!$B11:$FU11=""),Values!$B$5:$FU$5,"")))</f>
        <v>0</v>
      </c>
      <c r="GH6">
        <f t="shared" si="66"/>
        <v>0</v>
      </c>
      <c r="GI6">
        <f t="shared" si="67"/>
        <v>1</v>
      </c>
      <c r="GJ6">
        <f t="shared" si="68"/>
        <v>0</v>
      </c>
      <c r="GK6">
        <f t="shared" si="69"/>
        <v>0</v>
      </c>
      <c r="GL6">
        <f>Pattern!$W6</f>
        <v>0</v>
      </c>
      <c r="GM6">
        <f>Pattern!$AS6</f>
        <v>0</v>
      </c>
      <c r="GN6">
        <f>Pattern!$BO6</f>
        <v>0</v>
      </c>
      <c r="GO6">
        <f>Pattern!$BQ6</f>
        <v>0</v>
      </c>
      <c r="GP6">
        <f>Pattern!$S6</f>
        <v>3</v>
      </c>
      <c r="GQ6">
        <f>Pattern!$AO6</f>
        <v>3</v>
      </c>
      <c r="GR6">
        <f>Pattern!$BK6</f>
        <v>3</v>
      </c>
      <c r="GS6">
        <f>Pattern!$V6</f>
        <v>0.47058823529411764</v>
      </c>
      <c r="GT6">
        <f>Pattern!$AR6</f>
        <v>0.5</v>
      </c>
      <c r="GU6">
        <f>Pattern!$BN6</f>
        <v>0.43333333333333335</v>
      </c>
      <c r="GV6">
        <f>Pattern!$T6</f>
        <v>2</v>
      </c>
      <c r="GW6">
        <f>Pattern!$AP6</f>
        <v>3</v>
      </c>
      <c r="GX6">
        <f>Pattern!$BL6</f>
        <v>2</v>
      </c>
      <c r="GY6">
        <f>Pattern!$BP6</f>
        <v>21</v>
      </c>
      <c r="GZ6">
        <f>Values!$X11</f>
        <v>3</v>
      </c>
      <c r="HA6">
        <f>Values!$AC11</f>
        <v>2</v>
      </c>
      <c r="HB6">
        <f>Values!$K11</f>
        <v>4</v>
      </c>
      <c r="HC6">
        <f>Values!$G11</f>
        <v>2</v>
      </c>
      <c r="HD6">
        <f>Values!$AA11</f>
        <v>3</v>
      </c>
      <c r="HE6">
        <f>Values!$S11</f>
        <v>2</v>
      </c>
      <c r="HF6">
        <f>Values!$Y11</f>
        <v>2</v>
      </c>
      <c r="HG6">
        <f>Values!$AE11</f>
        <v>3</v>
      </c>
      <c r="HH6">
        <f>Values!$N11</f>
        <v>4</v>
      </c>
      <c r="HI6">
        <f>Values!$I11</f>
        <v>3</v>
      </c>
      <c r="HJ6">
        <f>Values!$M11</f>
        <v>3</v>
      </c>
      <c r="HK6">
        <f>Values!$AB11</f>
        <v>3</v>
      </c>
      <c r="HL6">
        <f>Values!$Q11</f>
        <v>3</v>
      </c>
      <c r="HM6">
        <f>Values!$T11</f>
        <v>4</v>
      </c>
      <c r="HN6">
        <f>Values!$W11</f>
        <v>2</v>
      </c>
      <c r="HO6">
        <f>Values!$H11</f>
        <v>3</v>
      </c>
      <c r="HP6">
        <f>Values!$L11</f>
        <v>3</v>
      </c>
      <c r="HQ6">
        <f>Values!$O11</f>
        <v>4</v>
      </c>
      <c r="HR6">
        <f>Values!$R11</f>
        <v>3</v>
      </c>
      <c r="HS6">
        <f>Values!$U11</f>
        <v>4</v>
      </c>
      <c r="HT6">
        <f>Values!$Z11</f>
        <v>2</v>
      </c>
      <c r="HU6">
        <f>Values!$AF11</f>
        <v>4</v>
      </c>
      <c r="HV6">
        <f>Values!$AD11</f>
        <v>2</v>
      </c>
      <c r="HW6">
        <f>Values!$J11</f>
        <v>3</v>
      </c>
      <c r="HX6">
        <f>Values!$P11</f>
        <v>3</v>
      </c>
      <c r="HY6">
        <f>Values!$V11</f>
        <v>4</v>
      </c>
      <c r="HZ6">
        <f>Values!$AG11</f>
        <v>4</v>
      </c>
      <c r="IA6">
        <f>Values!$BK11</f>
        <v>4</v>
      </c>
      <c r="IB6">
        <f>Values!$AO11</f>
        <v>4</v>
      </c>
      <c r="IC6">
        <f>Values!$BS11</f>
        <v>4</v>
      </c>
      <c r="ID6">
        <f>Values!$BB11</f>
        <v>2</v>
      </c>
      <c r="IE6">
        <f>Values!$CF11</f>
        <v>1</v>
      </c>
      <c r="IF6">
        <f>Values!$AH11</f>
        <v>4</v>
      </c>
      <c r="IG6">
        <f>Values!$BL11</f>
        <v>4</v>
      </c>
      <c r="IH6">
        <f>Values!$AS11</f>
        <v>2</v>
      </c>
      <c r="II6">
        <f>Values!$BW11</f>
        <v>2</v>
      </c>
      <c r="IJ6">
        <f>Values!$BA11</f>
        <v>4</v>
      </c>
      <c r="IK6">
        <f>Values!$CE11</f>
        <v>3</v>
      </c>
      <c r="IL6">
        <f>Values!$AM11</f>
        <v>4</v>
      </c>
      <c r="IM6">
        <f>Values!$BQ11</f>
        <v>4</v>
      </c>
      <c r="IN6">
        <f>Values!$AV11</f>
        <v>4</v>
      </c>
      <c r="IO6">
        <f>Values!$BZ11</f>
        <v>4</v>
      </c>
      <c r="IP6">
        <f>Values!$BF11</f>
        <v>1</v>
      </c>
      <c r="IQ6">
        <f>Values!$CJ11</f>
        <v>2</v>
      </c>
      <c r="IR6">
        <f>Values!$AJ11</f>
        <v>3</v>
      </c>
      <c r="IS6">
        <f>Values!$BN11</f>
        <v>3</v>
      </c>
      <c r="IT6">
        <f>Values!$AQ11</f>
        <v>3</v>
      </c>
      <c r="IU6">
        <f>Values!$BU11</f>
        <v>3</v>
      </c>
      <c r="IV6">
        <f>Values!$AX11</f>
        <v>3</v>
      </c>
      <c r="IW6">
        <f>Values!$CB11</f>
        <v>3</v>
      </c>
      <c r="IX6">
        <f>Values!$BE11</f>
        <v>3</v>
      </c>
      <c r="IY6">
        <f>Values!$CI11</f>
        <v>3</v>
      </c>
      <c r="IZ6">
        <f>Values!$BI11</f>
        <v>3</v>
      </c>
      <c r="JA6">
        <f>Values!$CM11</f>
        <v>3</v>
      </c>
      <c r="JB6">
        <f>Values!$AI11</f>
        <v>2</v>
      </c>
      <c r="JC6">
        <f>Values!$BM11</f>
        <v>3</v>
      </c>
      <c r="JD6">
        <f>Values!$AP11</f>
        <v>3</v>
      </c>
      <c r="JE6">
        <f>Values!$BT11</f>
        <v>4</v>
      </c>
      <c r="JF6">
        <f>Values!$AW11</f>
        <v>3</v>
      </c>
      <c r="JG6">
        <f>Values!$CA11</f>
        <v>3</v>
      </c>
      <c r="JH6">
        <f>Values!$BD11</f>
        <v>3</v>
      </c>
      <c r="JI6">
        <f>Values!$CH11</f>
        <v>3</v>
      </c>
      <c r="JJ6">
        <f>Values!$BH11</f>
        <v>3</v>
      </c>
      <c r="JK6">
        <f>Values!$CL11</f>
        <v>3</v>
      </c>
      <c r="JL6">
        <f>Values!$AK11</f>
        <v>4</v>
      </c>
      <c r="JM6">
        <f>Values!$BO11</f>
        <v>4</v>
      </c>
      <c r="JN6">
        <f>Values!$AR11</f>
        <v>2</v>
      </c>
      <c r="JO6">
        <f>Values!$BV11</f>
        <v>2</v>
      </c>
      <c r="JP6">
        <f>Values!$AY11</f>
        <v>4</v>
      </c>
      <c r="JQ6">
        <f>Values!$CC11</f>
        <v>4</v>
      </c>
      <c r="JR6">
        <f>Values!$AL11</f>
        <v>3</v>
      </c>
      <c r="JS6">
        <f>Values!$BP11</f>
        <v>4</v>
      </c>
      <c r="JT6">
        <f>Values!$AT11</f>
        <v>3</v>
      </c>
      <c r="JU6">
        <f>Values!$BX11</f>
        <v>2</v>
      </c>
      <c r="JV6">
        <f>Values!$AZ11</f>
        <v>3</v>
      </c>
      <c r="JW6">
        <f>Values!$CD11</f>
        <v>4</v>
      </c>
      <c r="JX6">
        <f>Values!$AU11</f>
        <v>2</v>
      </c>
      <c r="JY6">
        <f>Values!$BY11</f>
        <v>1</v>
      </c>
      <c r="JZ6">
        <f>Values!$AN11</f>
        <v>3</v>
      </c>
      <c r="KA6">
        <f>Values!$BR11</f>
        <v>3</v>
      </c>
      <c r="KB6">
        <f>Values!$BC11</f>
        <v>3</v>
      </c>
      <c r="KC6">
        <f>Values!$CG11</f>
        <v>3</v>
      </c>
      <c r="KD6">
        <f>Values!$BJ11</f>
        <v>2</v>
      </c>
      <c r="KE6">
        <f>Values!$CN11</f>
        <v>2</v>
      </c>
      <c r="KF6">
        <f>Values!$BG11</f>
        <v>3</v>
      </c>
      <c r="KG6">
        <f>Values!$CK11</f>
        <v>3</v>
      </c>
    </row>
    <row r="7" spans="1:293" x14ac:dyDescent="0.45">
      <c r="A7">
        <f t="shared" si="0"/>
        <v>1</v>
      </c>
      <c r="B7" t="str">
        <f>Values!$A$12</f>
        <v>Liam O'Connor</v>
      </c>
      <c r="C7" t="str">
        <f>TEXT(Responses!$C$7,"yyyy-mm-dd")</f>
        <v>2026-09-16</v>
      </c>
      <c r="D7">
        <f t="shared" si="1"/>
        <v>9</v>
      </c>
      <c r="E7">
        <f>Values!$B12</f>
        <v>4</v>
      </c>
      <c r="F7">
        <f>Values!$C12</f>
        <v>1</v>
      </c>
      <c r="G7">
        <f>Values!$D12</f>
        <v>2</v>
      </c>
      <c r="H7">
        <f>Values!$E12</f>
        <v>2</v>
      </c>
      <c r="I7">
        <f>Values!$F12</f>
        <v>4</v>
      </c>
      <c r="J7">
        <f>IF(COUNT(Values!$X12,Values!$AC12,Values!$K12)&lt;3,NA(),AVERAGE(Values!$X12,Values!$AC12,6-Values!$K12))</f>
        <v>4</v>
      </c>
      <c r="K7">
        <f>IF(COUNT(Values!$AG12,Values!$AO12,Values!$BB12)&lt;3,NA(),AVERAGE(Values!$AG12,Values!$AO12,6-Values!$BB12))</f>
        <v>4</v>
      </c>
      <c r="L7">
        <f>IF(COUNT(Values!$BK12,Values!$BS12,Values!$CF12)&lt;3,NA(),AVERAGE(Values!$BK12,Values!$BS12,6-Values!$CF12))</f>
        <v>4</v>
      </c>
      <c r="M7">
        <f>IF(COUNT(Values!$G12,Values!$AA12,Values!$S12)&lt;3,NA(),AVERAGE(Values!$G12,6-Values!$AA12,Values!$S12))</f>
        <v>3</v>
      </c>
      <c r="N7">
        <f>IF(COUNT(Values!$AH12,Values!$AS12,Values!$BA12)&lt;3,NA(),AVERAGE(Values!$AH12,6-Values!$AS12,Values!$BA12))</f>
        <v>2.6666666666666665</v>
      </c>
      <c r="O7">
        <f>IF(COUNT(Values!$BL12,Values!$BW12,Values!$CE12)&lt;3,NA(),AVERAGE(Values!$BL12,6-Values!$BW12,Values!$CE12))</f>
        <v>2.3333333333333335</v>
      </c>
      <c r="P7">
        <f>IF(COUNT(Values!$Y12,Values!$AE12,Values!$N12)&lt;3,NA(),AVERAGE(Values!$Y12,Values!$AE12,6-Values!$N12))</f>
        <v>4</v>
      </c>
      <c r="Q7">
        <f>IF(COUNT(Values!$AM12,Values!$AV12,Values!$BF12)&lt;3,NA(),AVERAGE(Values!$AM12,Values!$AV12,6-Values!$BF12))</f>
        <v>4.333333333333333</v>
      </c>
      <c r="R7">
        <f>IF(COUNT(Values!$BQ12,Values!$BZ12,Values!$CJ12)&lt;3,NA(),AVERAGE(Values!$BQ12,Values!$BZ12,6-Values!$CJ12))</f>
        <v>4</v>
      </c>
      <c r="S7">
        <f>IF(COUNT(Values!$I12,Values!$M12,Values!$AB12,Values!$Q12,Values!$T12,Values!$W12)&lt;6,NA(),AVERAGE(Values!$I12,AVERAGE(Values!$M12,Values!$AB12),Values!$Q12,Values!$T12,6-Values!$W12))</f>
        <v>2.9</v>
      </c>
      <c r="T7">
        <f>IF(COUNT(Values!$AJ12,Values!$AQ12,Values!$AX12,Values!$BE12,Values!$BI12)&lt;5,NA(),AVERAGE(Values!$AJ12,Values!$AQ12,Values!$AX12,Values!$BE12,6-Values!$BI12))</f>
        <v>3.4</v>
      </c>
      <c r="U7">
        <f>IF(COUNT(Values!$BN12,Values!$BU12,Values!$CB12,Values!$CI12,Values!$CM12)&lt;5,NA(),AVERAGE(Values!$BN12,Values!$BU12,Values!$CB12,Values!$CI12,6-Values!$CM12))</f>
        <v>4</v>
      </c>
      <c r="V7">
        <f>IF(COUNT(Values!$H12,Values!$L12,Values!$O12,Values!$R12,Values!$U12)&lt;5,NA(),AVERAGE(Values!$H12,Values!$L12,Values!$O12,6-Values!$R12,Values!$U12))</f>
        <v>3.4</v>
      </c>
      <c r="W7">
        <f>IF(COUNT(Values!$AI12,Values!$AP12,Values!$AW12,Values!$BD12,Values!$BH12)&lt;5,NA(),AVERAGE(Values!$AI12,Values!$AP12,Values!$AW12,6-Values!$BD12,Values!$BH12))</f>
        <v>3.4</v>
      </c>
      <c r="X7">
        <f>IF(COUNT(Values!$BM12,Values!$BT12,Values!$CA12,Values!$CH12,Values!$CL12)&lt;5,NA(),AVERAGE(Values!$BM12,Values!$BT12,Values!$CA12,6-Values!$CH12,Values!$CL12))</f>
        <v>3.8</v>
      </c>
      <c r="Y7">
        <f>IF(COUNT(Values!$Z12,Values!$AF12,Values!$AD12)&lt;3,NA(),AVERAGE(Values!$Z12,6-Values!$AF12,Values!$AD12))</f>
        <v>4</v>
      </c>
      <c r="Z7">
        <f>IF(COUNT(Values!$AK12,Values!$AR12,Values!$AY12)&lt;3,NA(),AVERAGE(Values!$AK12,6-Values!$AR12,Values!$AY12))</f>
        <v>3</v>
      </c>
      <c r="AA7">
        <f>IF(COUNT(Values!$BO12,Values!$BV12,Values!$CC12)&lt;3,NA(),AVERAGE(Values!$BO12,6-Values!$BV12,Values!$CC12))</f>
        <v>3</v>
      </c>
      <c r="AB7">
        <f>IF(COUNT(Values!$J12,Values!$P12,Values!$V12)&lt;3,NA(),AVERAGE(Values!$J12,6-Values!$P12,Values!$V12))</f>
        <v>4.333333333333333</v>
      </c>
      <c r="AC7">
        <f>IF(COUNT(Values!$AL12,Values!$AT12,Values!$AZ12)&lt;3,NA(),AVERAGE(Values!$AL12,6-Values!$AT12,Values!$AZ12))</f>
        <v>4</v>
      </c>
      <c r="AD7">
        <f>IF(COUNT(Values!$BP12,Values!$BX12,Values!$CD12)&lt;3,NA(),AVERAGE(Values!$BP12,6-Values!$BX12,Values!$CD12))</f>
        <v>4.333333333333333</v>
      </c>
      <c r="AE7">
        <f t="shared" si="2"/>
        <v>0</v>
      </c>
      <c r="AF7">
        <f t="shared" si="3"/>
        <v>0</v>
      </c>
      <c r="AG7">
        <f t="shared" si="4"/>
        <v>-0.33333333333333348</v>
      </c>
      <c r="AH7">
        <f t="shared" si="5"/>
        <v>-0.33333333333333304</v>
      </c>
      <c r="AI7">
        <f t="shared" si="6"/>
        <v>0.33333333333333304</v>
      </c>
      <c r="AJ7">
        <f t="shared" si="7"/>
        <v>-0.33333333333333304</v>
      </c>
      <c r="AK7">
        <f t="shared" si="8"/>
        <v>0.5</v>
      </c>
      <c r="AL7">
        <f t="shared" si="9"/>
        <v>0.60000000000000009</v>
      </c>
      <c r="AM7">
        <f t="shared" si="10"/>
        <v>0</v>
      </c>
      <c r="AN7">
        <f t="shared" si="11"/>
        <v>0.39999999999999991</v>
      </c>
      <c r="AO7">
        <f t="shared" si="12"/>
        <v>-1</v>
      </c>
      <c r="AP7">
        <f t="shared" si="13"/>
        <v>0</v>
      </c>
      <c r="AQ7">
        <f t="shared" si="14"/>
        <v>-0.33333333333333304</v>
      </c>
      <c r="AR7">
        <f t="shared" si="15"/>
        <v>0.33333333333333304</v>
      </c>
      <c r="AS7" t="str">
        <f>Values!$CO12</f>
        <v>NA</v>
      </c>
      <c r="AT7" t="str">
        <f>Values!$DH12</f>
        <v>NA</v>
      </c>
      <c r="AU7" t="str">
        <f>Values!$EA12</f>
        <v>NA</v>
      </c>
      <c r="AV7">
        <f>Values!$CP12</f>
        <v>3</v>
      </c>
      <c r="AW7">
        <f>Values!$DI12</f>
        <v>3</v>
      </c>
      <c r="AX7">
        <f>Values!$EB12</f>
        <v>3</v>
      </c>
      <c r="AY7">
        <f>Values!$CQ12</f>
        <v>3</v>
      </c>
      <c r="AZ7">
        <f>Values!$DJ12</f>
        <v>3</v>
      </c>
      <c r="BA7">
        <f>Values!$EC12</f>
        <v>3</v>
      </c>
      <c r="BB7">
        <f>Values!$CR12</f>
        <v>3</v>
      </c>
      <c r="BC7">
        <f>Values!$DK12</f>
        <v>3</v>
      </c>
      <c r="BD7">
        <f>Values!$ED12</f>
        <v>3</v>
      </c>
      <c r="BE7">
        <f>Values!$CS12</f>
        <v>3</v>
      </c>
      <c r="BF7">
        <f>Values!$DL12</f>
        <v>4</v>
      </c>
      <c r="BG7">
        <f>Values!$EE12</f>
        <v>4</v>
      </c>
      <c r="BH7">
        <f>Values!$CT12</f>
        <v>3</v>
      </c>
      <c r="BI7">
        <f>Values!$DM12</f>
        <v>3</v>
      </c>
      <c r="BJ7">
        <f>Values!$EF12</f>
        <v>4</v>
      </c>
      <c r="BK7">
        <f>Values!$CU12</f>
        <v>2</v>
      </c>
      <c r="BL7">
        <f>Values!$DN12</f>
        <v>2</v>
      </c>
      <c r="BM7">
        <f>Values!$EG12</f>
        <v>2</v>
      </c>
      <c r="BN7">
        <f>Values!$CV12</f>
        <v>3</v>
      </c>
      <c r="BO7">
        <f>Values!$DO12</f>
        <v>3</v>
      </c>
      <c r="BP7">
        <f>Values!$EH12</f>
        <v>3</v>
      </c>
      <c r="BQ7">
        <f>Values!$CW12</f>
        <v>5</v>
      </c>
      <c r="BR7">
        <f>Values!$DP12</f>
        <v>5</v>
      </c>
      <c r="BS7">
        <f>Values!$EI12</f>
        <v>5</v>
      </c>
      <c r="BT7">
        <f>Values!$CX12</f>
        <v>4</v>
      </c>
      <c r="BU7">
        <f>Values!$DQ12</f>
        <v>4</v>
      </c>
      <c r="BV7">
        <f>Values!$EJ12</f>
        <v>4</v>
      </c>
      <c r="BW7">
        <f>Values!$CY12</f>
        <v>5</v>
      </c>
      <c r="BX7">
        <f>Values!$DR12</f>
        <v>4</v>
      </c>
      <c r="BY7">
        <f>Values!$EK12</f>
        <v>4</v>
      </c>
      <c r="BZ7">
        <f>Values!$CZ12</f>
        <v>6</v>
      </c>
      <c r="CA7">
        <f>Values!$DS12</f>
        <v>6</v>
      </c>
      <c r="CB7">
        <f>Values!$EL12</f>
        <v>5</v>
      </c>
      <c r="CC7">
        <f>Values!$DA12</f>
        <v>4</v>
      </c>
      <c r="CD7">
        <f>Values!$DT12</f>
        <v>4</v>
      </c>
      <c r="CE7">
        <f>Values!$EM12</f>
        <v>4</v>
      </c>
      <c r="CF7">
        <f>Values!$DB12</f>
        <v>3</v>
      </c>
      <c r="CG7">
        <f>Values!$DU12</f>
        <v>4</v>
      </c>
      <c r="CH7">
        <f>Values!$EN12</f>
        <v>3</v>
      </c>
      <c r="CI7">
        <f>Values!$DC12</f>
        <v>3</v>
      </c>
      <c r="CJ7">
        <f>Values!$DV12</f>
        <v>3</v>
      </c>
      <c r="CK7">
        <f>Values!$EO12</f>
        <v>3</v>
      </c>
      <c r="CL7">
        <f>Values!$DD12</f>
        <v>3</v>
      </c>
      <c r="CM7">
        <f>Values!$DW12</f>
        <v>3</v>
      </c>
      <c r="CN7">
        <f>Values!$EP12</f>
        <v>3</v>
      </c>
      <c r="CO7">
        <f>Values!$DE12</f>
        <v>3</v>
      </c>
      <c r="CP7">
        <f>Values!$DX12</f>
        <v>3</v>
      </c>
      <c r="CQ7">
        <f>Values!$EQ12</f>
        <v>3</v>
      </c>
      <c r="CR7">
        <f>Values!$DF12</f>
        <v>3</v>
      </c>
      <c r="CS7">
        <f>Values!$DY12</f>
        <v>3</v>
      </c>
      <c r="CT7">
        <f>Values!$ER12</f>
        <v>3</v>
      </c>
      <c r="CU7">
        <f>Values!$DG12</f>
        <v>3</v>
      </c>
      <c r="CV7" t="str">
        <f>Values!$DZ12</f>
        <v>NA</v>
      </c>
      <c r="CW7" t="str">
        <f>Values!$ES12</f>
        <v>NA</v>
      </c>
      <c r="CX7" t="str">
        <f t="shared" si="16"/>
        <v>NA</v>
      </c>
      <c r="CY7" t="str">
        <f t="shared" si="17"/>
        <v>NA</v>
      </c>
      <c r="CZ7">
        <f t="shared" si="18"/>
        <v>0</v>
      </c>
      <c r="DA7">
        <f t="shared" si="19"/>
        <v>0</v>
      </c>
      <c r="DB7">
        <f t="shared" si="20"/>
        <v>0</v>
      </c>
      <c r="DC7">
        <f t="shared" si="21"/>
        <v>0</v>
      </c>
      <c r="DD7">
        <f t="shared" si="22"/>
        <v>0</v>
      </c>
      <c r="DE7">
        <f t="shared" si="23"/>
        <v>0</v>
      </c>
      <c r="DF7">
        <f t="shared" si="24"/>
        <v>1</v>
      </c>
      <c r="DG7">
        <f t="shared" si="25"/>
        <v>0</v>
      </c>
      <c r="DH7">
        <f t="shared" si="26"/>
        <v>0</v>
      </c>
      <c r="DI7">
        <f t="shared" si="27"/>
        <v>1</v>
      </c>
      <c r="DJ7">
        <f t="shared" si="28"/>
        <v>0</v>
      </c>
      <c r="DK7">
        <f t="shared" si="29"/>
        <v>0</v>
      </c>
      <c r="DL7">
        <f t="shared" si="30"/>
        <v>0</v>
      </c>
      <c r="DM7">
        <f t="shared" si="31"/>
        <v>0</v>
      </c>
      <c r="DN7">
        <f t="shared" si="32"/>
        <v>0</v>
      </c>
      <c r="DO7">
        <f t="shared" si="33"/>
        <v>0</v>
      </c>
      <c r="DP7">
        <f t="shared" si="34"/>
        <v>0</v>
      </c>
      <c r="DQ7">
        <f t="shared" si="35"/>
        <v>0</v>
      </c>
      <c r="DR7">
        <f t="shared" si="36"/>
        <v>-1</v>
      </c>
      <c r="DS7">
        <f t="shared" si="37"/>
        <v>0</v>
      </c>
      <c r="DT7">
        <f t="shared" si="38"/>
        <v>0</v>
      </c>
      <c r="DU7">
        <f t="shared" si="39"/>
        <v>-1</v>
      </c>
      <c r="DV7">
        <f t="shared" si="40"/>
        <v>0</v>
      </c>
      <c r="DW7">
        <f t="shared" si="41"/>
        <v>0</v>
      </c>
      <c r="DX7">
        <f t="shared" si="42"/>
        <v>1</v>
      </c>
      <c r="DY7">
        <f t="shared" si="43"/>
        <v>-1</v>
      </c>
      <c r="DZ7">
        <f t="shared" si="44"/>
        <v>0</v>
      </c>
      <c r="EA7">
        <f t="shared" si="45"/>
        <v>0</v>
      </c>
      <c r="EB7">
        <f t="shared" si="46"/>
        <v>0</v>
      </c>
      <c r="EC7">
        <f t="shared" si="47"/>
        <v>0</v>
      </c>
      <c r="ED7">
        <f t="shared" si="48"/>
        <v>0</v>
      </c>
      <c r="EE7">
        <f t="shared" si="49"/>
        <v>0</v>
      </c>
      <c r="EF7">
        <f t="shared" si="50"/>
        <v>0</v>
      </c>
      <c r="EG7">
        <f t="shared" si="51"/>
        <v>0</v>
      </c>
      <c r="EH7" t="str">
        <f t="shared" si="52"/>
        <v>NA</v>
      </c>
      <c r="EI7" t="str">
        <f t="shared" si="53"/>
        <v>NA</v>
      </c>
      <c r="EJ7">
        <f>IF(ISNUMBER(Values!$AU12),--(Values!$AU12&gt;=4),0)</f>
        <v>0</v>
      </c>
      <c r="EK7">
        <f>IF(ISNUMBER(Values!$BY12),--(Values!$BY12&gt;=4),0)</f>
        <v>0</v>
      </c>
      <c r="EL7">
        <f>IF(ISNUMBER(Values!$AN12),--(Values!$AN12&gt;=4),0)</f>
        <v>0</v>
      </c>
      <c r="EM7">
        <f>IF(ISNUMBER(Values!$BR12),--(Values!$BR12&gt;=4),0)</f>
        <v>0</v>
      </c>
      <c r="EN7">
        <f>IF(ISNUMBER(Values!$BC12),--(Values!$BC12&gt;=4),0)</f>
        <v>0</v>
      </c>
      <c r="EO7">
        <f>IF(ISNUMBER(Values!$CG12),--(Values!$CG12&gt;=4),0)</f>
        <v>0</v>
      </c>
      <c r="EP7">
        <f>IF(ISNUMBER(Values!$BJ12),--(Values!$BJ12&gt;=4),0)</f>
        <v>0</v>
      </c>
      <c r="EQ7">
        <f>IF(ISNUMBER(Values!$CN12),--(Values!$CN12&gt;=4),0)</f>
        <v>1</v>
      </c>
      <c r="ER7">
        <f>IF(ISNUMBER(Values!$BG12),--(Values!$BG12&gt;=4),0)</f>
        <v>1</v>
      </c>
      <c r="ES7">
        <f>IF(ISNUMBER(Values!$CK12),--(Values!$CK12&gt;=4),0)</f>
        <v>1</v>
      </c>
      <c r="ET7">
        <f>Values!$ET12</f>
        <v>0</v>
      </c>
      <c r="EU7">
        <f>Values!$FA12</f>
        <v>0</v>
      </c>
      <c r="EV7">
        <f>Values!$FH12</f>
        <v>0</v>
      </c>
      <c r="EW7">
        <f>Values!$EU12</f>
        <v>0</v>
      </c>
      <c r="EX7">
        <f>Values!$FB12</f>
        <v>0</v>
      </c>
      <c r="EY7">
        <f>Values!$FI12</f>
        <v>0</v>
      </c>
      <c r="EZ7">
        <f>Values!$EV12</f>
        <v>1</v>
      </c>
      <c r="FA7">
        <f>Values!$FC12</f>
        <v>1</v>
      </c>
      <c r="FB7">
        <f>Values!$FJ12</f>
        <v>1</v>
      </c>
      <c r="FC7">
        <f>Values!$EW12</f>
        <v>1</v>
      </c>
      <c r="FD7">
        <f>Values!$FD12</f>
        <v>1</v>
      </c>
      <c r="FE7">
        <f>Values!$FK12</f>
        <v>1</v>
      </c>
      <c r="FF7">
        <f>Values!$EX12</f>
        <v>0</v>
      </c>
      <c r="FG7">
        <f>Values!$FE12</f>
        <v>0</v>
      </c>
      <c r="FH7">
        <f>Values!$FL12</f>
        <v>0</v>
      </c>
      <c r="FI7">
        <f>Values!$EY12</f>
        <v>0</v>
      </c>
      <c r="FJ7">
        <f>Values!$FF12</f>
        <v>0</v>
      </c>
      <c r="FK7">
        <f>Values!$FM12</f>
        <v>0</v>
      </c>
      <c r="FL7">
        <f>Values!$EZ12</f>
        <v>1</v>
      </c>
      <c r="FM7">
        <f>Values!$FG12</f>
        <v>0</v>
      </c>
      <c r="FN7">
        <f>Values!$FN12</f>
        <v>1</v>
      </c>
      <c r="FO7">
        <f t="shared" si="54"/>
        <v>0</v>
      </c>
      <c r="FP7">
        <f t="shared" si="55"/>
        <v>0</v>
      </c>
      <c r="FQ7">
        <f t="shared" si="56"/>
        <v>0</v>
      </c>
      <c r="FR7">
        <f t="shared" si="57"/>
        <v>0</v>
      </c>
      <c r="FS7">
        <f t="shared" si="58"/>
        <v>0</v>
      </c>
      <c r="FT7">
        <f t="shared" si="59"/>
        <v>0</v>
      </c>
      <c r="FU7">
        <f>Values!$FP12</f>
        <v>0</v>
      </c>
      <c r="FV7">
        <f>Values!$FQ12</f>
        <v>0</v>
      </c>
      <c r="FW7">
        <f>Values!$FR12</f>
        <v>0</v>
      </c>
      <c r="FX7">
        <f>Values!$FS12</f>
        <v>0</v>
      </c>
      <c r="FY7">
        <f>Values!$FT12</f>
        <v>0</v>
      </c>
      <c r="FZ7">
        <f>Values!$FU12</f>
        <v>0</v>
      </c>
      <c r="GA7">
        <f t="shared" si="60"/>
        <v>0</v>
      </c>
      <c r="GB7">
        <f t="shared" si="61"/>
        <v>0</v>
      </c>
      <c r="GC7">
        <f t="shared" si="62"/>
        <v>0</v>
      </c>
      <c r="GD7">
        <f t="shared" si="63"/>
        <v>0</v>
      </c>
      <c r="GE7">
        <f t="shared" si="64"/>
        <v>0</v>
      </c>
      <c r="GF7">
        <f t="shared" si="65"/>
        <v>0</v>
      </c>
      <c r="GG7">
        <f t="array" ref="GG7">IF(_xlfn.TEXTJOIN(";",TRUE,IF((Values!$B$2:$FU$2="item")*(Values!$B12:$FU12=""),Values!$B$5:$FU$5,""))="",0,_xlfn.TEXTJOIN(";",TRUE,IF((Values!$B$2:$FU$2="item")*(Values!$B12:$FU12=""),Values!$B$5:$FU$5,"")))</f>
        <v>0</v>
      </c>
      <c r="GH7">
        <f t="shared" si="66"/>
        <v>0</v>
      </c>
      <c r="GI7">
        <f t="shared" si="67"/>
        <v>0</v>
      </c>
      <c r="GJ7">
        <f t="shared" si="68"/>
        <v>0</v>
      </c>
      <c r="GK7">
        <f t="shared" si="69"/>
        <v>0</v>
      </c>
      <c r="GL7">
        <f>Pattern!$W7</f>
        <v>0</v>
      </c>
      <c r="GM7">
        <f>Pattern!$AS7</f>
        <v>0</v>
      </c>
      <c r="GN7">
        <f>Pattern!$BO7</f>
        <v>0</v>
      </c>
      <c r="GO7">
        <f>Pattern!$BQ7</f>
        <v>0</v>
      </c>
      <c r="GP7">
        <f>Pattern!$S7</f>
        <v>3</v>
      </c>
      <c r="GQ7">
        <f>Pattern!$AO7</f>
        <v>3</v>
      </c>
      <c r="GR7">
        <f>Pattern!$BK7</f>
        <v>4</v>
      </c>
      <c r="GS7">
        <f>Pattern!$V7</f>
        <v>0.35294117647058826</v>
      </c>
      <c r="GT7">
        <f>Pattern!$AR7</f>
        <v>0.43333333333333335</v>
      </c>
      <c r="GU7">
        <f>Pattern!$BN7</f>
        <v>0.53333333333333333</v>
      </c>
      <c r="GV7">
        <f>Pattern!$T7</f>
        <v>1</v>
      </c>
      <c r="GW7">
        <f>Pattern!$AP7</f>
        <v>3</v>
      </c>
      <c r="GX7">
        <f>Pattern!$BL7</f>
        <v>1</v>
      </c>
      <c r="GY7">
        <f>Pattern!$BP7</f>
        <v>18</v>
      </c>
      <c r="GZ7">
        <f>Values!$X12</f>
        <v>4</v>
      </c>
      <c r="HA7">
        <f>Values!$AC12</f>
        <v>4</v>
      </c>
      <c r="HB7">
        <f>Values!$K12</f>
        <v>2</v>
      </c>
      <c r="HC7">
        <f>Values!$G12</f>
        <v>3</v>
      </c>
      <c r="HD7">
        <f>Values!$AA12</f>
        <v>3</v>
      </c>
      <c r="HE7">
        <f>Values!$S12</f>
        <v>3</v>
      </c>
      <c r="HF7">
        <f>Values!$Y12</f>
        <v>4</v>
      </c>
      <c r="HG7">
        <f>Values!$AE12</f>
        <v>4</v>
      </c>
      <c r="HH7">
        <f>Values!$N12</f>
        <v>2</v>
      </c>
      <c r="HI7">
        <f>Values!$I12</f>
        <v>2</v>
      </c>
      <c r="HJ7">
        <f>Values!$M12</f>
        <v>4</v>
      </c>
      <c r="HK7">
        <f>Values!$AB12</f>
        <v>3</v>
      </c>
      <c r="HL7">
        <f>Values!$Q12</f>
        <v>2</v>
      </c>
      <c r="HM7">
        <f>Values!$T12</f>
        <v>4</v>
      </c>
      <c r="HN7">
        <f>Values!$W12</f>
        <v>3</v>
      </c>
      <c r="HO7">
        <f>Values!$H12</f>
        <v>3</v>
      </c>
      <c r="HP7">
        <f>Values!$L12</f>
        <v>4</v>
      </c>
      <c r="HQ7">
        <f>Values!$O12</f>
        <v>3</v>
      </c>
      <c r="HR7">
        <f>Values!$R12</f>
        <v>2</v>
      </c>
      <c r="HS7">
        <f>Values!$U12</f>
        <v>3</v>
      </c>
      <c r="HT7">
        <f>Values!$Z12</f>
        <v>4</v>
      </c>
      <c r="HU7">
        <f>Values!$AF12</f>
        <v>2</v>
      </c>
      <c r="HV7">
        <f>Values!$AD12</f>
        <v>4</v>
      </c>
      <c r="HW7">
        <f>Values!$J12</f>
        <v>4</v>
      </c>
      <c r="HX7">
        <f>Values!$P12</f>
        <v>2</v>
      </c>
      <c r="HY7">
        <f>Values!$V12</f>
        <v>5</v>
      </c>
      <c r="HZ7">
        <f>Values!$AG12</f>
        <v>4</v>
      </c>
      <c r="IA7">
        <f>Values!$BK12</f>
        <v>4</v>
      </c>
      <c r="IB7">
        <f>Values!$AO12</f>
        <v>4</v>
      </c>
      <c r="IC7">
        <f>Values!$BS12</f>
        <v>4</v>
      </c>
      <c r="ID7">
        <f>Values!$BB12</f>
        <v>2</v>
      </c>
      <c r="IE7">
        <f>Values!$CF12</f>
        <v>2</v>
      </c>
      <c r="IF7">
        <f>Values!$AH12</f>
        <v>3</v>
      </c>
      <c r="IG7">
        <f>Values!$BL12</f>
        <v>3</v>
      </c>
      <c r="IH7">
        <f>Values!$AS12</f>
        <v>3</v>
      </c>
      <c r="II7">
        <f>Values!$BW12</f>
        <v>4</v>
      </c>
      <c r="IJ7">
        <f>Values!$BA12</f>
        <v>2</v>
      </c>
      <c r="IK7">
        <f>Values!$CE12</f>
        <v>2</v>
      </c>
      <c r="IL7">
        <f>Values!$AM12</f>
        <v>4</v>
      </c>
      <c r="IM7">
        <f>Values!$BQ12</f>
        <v>4</v>
      </c>
      <c r="IN7">
        <f>Values!$AV12</f>
        <v>5</v>
      </c>
      <c r="IO7">
        <f>Values!$BZ12</f>
        <v>4</v>
      </c>
      <c r="IP7">
        <f>Values!$BF12</f>
        <v>2</v>
      </c>
      <c r="IQ7">
        <f>Values!$CJ12</f>
        <v>2</v>
      </c>
      <c r="IR7">
        <f>Values!$AJ12</f>
        <v>4</v>
      </c>
      <c r="IS7">
        <f>Values!$BN12</f>
        <v>4</v>
      </c>
      <c r="IT7">
        <f>Values!$AQ12</f>
        <v>3</v>
      </c>
      <c r="IU7">
        <f>Values!$BU12</f>
        <v>4</v>
      </c>
      <c r="IV7">
        <f>Values!$AX12</f>
        <v>3</v>
      </c>
      <c r="IW7">
        <f>Values!$CB12</f>
        <v>4</v>
      </c>
      <c r="IX7">
        <f>Values!$BE12</f>
        <v>3</v>
      </c>
      <c r="IY7">
        <f>Values!$CI12</f>
        <v>4</v>
      </c>
      <c r="IZ7">
        <f>Values!$BI12</f>
        <v>2</v>
      </c>
      <c r="JA7">
        <f>Values!$CM12</f>
        <v>2</v>
      </c>
      <c r="JB7">
        <f>Values!$AI12</f>
        <v>4</v>
      </c>
      <c r="JC7">
        <f>Values!$BM12</f>
        <v>3</v>
      </c>
      <c r="JD7">
        <f>Values!$AP12</f>
        <v>3</v>
      </c>
      <c r="JE7">
        <f>Values!$BT12</f>
        <v>4</v>
      </c>
      <c r="JF7">
        <f>Values!$AW12</f>
        <v>4</v>
      </c>
      <c r="JG7">
        <f>Values!$CA12</f>
        <v>4</v>
      </c>
      <c r="JH7">
        <f>Values!$BD12</f>
        <v>3</v>
      </c>
      <c r="JI7">
        <f>Values!$CH12</f>
        <v>2</v>
      </c>
      <c r="JJ7">
        <f>Values!$BH12</f>
        <v>3</v>
      </c>
      <c r="JK7">
        <f>Values!$CL12</f>
        <v>4</v>
      </c>
      <c r="JL7">
        <f>Values!$AK12</f>
        <v>3</v>
      </c>
      <c r="JM7">
        <f>Values!$BO12</f>
        <v>3</v>
      </c>
      <c r="JN7">
        <f>Values!$AR12</f>
        <v>3</v>
      </c>
      <c r="JO7">
        <f>Values!$BV12</f>
        <v>3</v>
      </c>
      <c r="JP7">
        <f>Values!$AY12</f>
        <v>3</v>
      </c>
      <c r="JQ7">
        <f>Values!$CC12</f>
        <v>3</v>
      </c>
      <c r="JR7">
        <f>Values!$AL12</f>
        <v>4</v>
      </c>
      <c r="JS7">
        <f>Values!$BP12</f>
        <v>4</v>
      </c>
      <c r="JT7">
        <f>Values!$AT12</f>
        <v>2</v>
      </c>
      <c r="JU7">
        <f>Values!$BX12</f>
        <v>1</v>
      </c>
      <c r="JV7">
        <f>Values!$AZ12</f>
        <v>4</v>
      </c>
      <c r="JW7">
        <f>Values!$CD12</f>
        <v>4</v>
      </c>
      <c r="JX7">
        <f>Values!$AU12</f>
        <v>3</v>
      </c>
      <c r="JY7">
        <f>Values!$BY12</f>
        <v>2</v>
      </c>
      <c r="JZ7">
        <f>Values!$AN12</f>
        <v>2</v>
      </c>
      <c r="KA7">
        <f>Values!$BR12</f>
        <v>2</v>
      </c>
      <c r="KB7">
        <f>Values!$BC12</f>
        <v>2</v>
      </c>
      <c r="KC7">
        <f>Values!$CG12</f>
        <v>2</v>
      </c>
      <c r="KD7">
        <f>Values!$BJ12</f>
        <v>3</v>
      </c>
      <c r="KE7">
        <f>Values!$CN12</f>
        <v>4</v>
      </c>
      <c r="KF7">
        <f>Values!$BG12</f>
        <v>4</v>
      </c>
      <c r="KG7">
        <f>Values!$CK12</f>
        <v>4</v>
      </c>
    </row>
    <row r="8" spans="1:293" x14ac:dyDescent="0.45">
      <c r="A8">
        <f t="shared" si="0"/>
        <v>1</v>
      </c>
      <c r="B8" t="str">
        <f>Values!$A$13</f>
        <v>Aisha Bello</v>
      </c>
      <c r="C8" t="str">
        <f>TEXT(Responses!$C$8,"yyyy-mm-dd")</f>
        <v>2026-09-17</v>
      </c>
      <c r="D8">
        <f t="shared" si="1"/>
        <v>9</v>
      </c>
      <c r="E8">
        <f>Values!$B13</f>
        <v>3</v>
      </c>
      <c r="F8">
        <f>Values!$C13</f>
        <v>1</v>
      </c>
      <c r="G8">
        <f>Values!$D13</f>
        <v>4</v>
      </c>
      <c r="H8">
        <f>Values!$E13</f>
        <v>1</v>
      </c>
      <c r="I8">
        <f>Values!$F13</f>
        <v>1</v>
      </c>
      <c r="J8">
        <f>IF(COUNT(Values!$X13,Values!$AC13,Values!$K13)&lt;3,NA(),AVERAGE(Values!$X13,Values!$AC13,6-Values!$K13))</f>
        <v>2.6666666666666665</v>
      </c>
      <c r="K8">
        <f>IF(COUNT(Values!$AG13,Values!$AO13,Values!$BB13)&lt;3,NA(),AVERAGE(Values!$AG13,Values!$AO13,6-Values!$BB13))</f>
        <v>4.333333333333333</v>
      </c>
      <c r="L8">
        <f>IF(COUNT(Values!$BK13,Values!$BS13,Values!$CF13)&lt;3,NA(),AVERAGE(Values!$BK13,Values!$BS13,6-Values!$CF13))</f>
        <v>4.666666666666667</v>
      </c>
      <c r="M8">
        <f>IF(COUNT(Values!$G13,Values!$AA13,Values!$S13)&lt;3,NA(),AVERAGE(Values!$G13,6-Values!$AA13,Values!$S13))</f>
        <v>2.6666666666666665</v>
      </c>
      <c r="N8">
        <f>IF(COUNT(Values!$AH13,Values!$AS13,Values!$BA13)&lt;3,NA(),AVERAGE(Values!$AH13,6-Values!$AS13,Values!$BA13))</f>
        <v>3.3333333333333335</v>
      </c>
      <c r="O8">
        <f>IF(COUNT(Values!$BL13,Values!$BW13,Values!$CE13)&lt;3,NA(),AVERAGE(Values!$BL13,6-Values!$BW13,Values!$CE13))</f>
        <v>3</v>
      </c>
      <c r="P8">
        <f>IF(COUNT(Values!$Y13,Values!$AE13,Values!$N13)&lt;3,NA(),AVERAGE(Values!$Y13,Values!$AE13,6-Values!$N13))</f>
        <v>2</v>
      </c>
      <c r="Q8">
        <f>IF(COUNT(Values!$AM13,Values!$AV13,Values!$BF13)&lt;3,NA(),AVERAGE(Values!$AM13,Values!$AV13,6-Values!$BF13))</f>
        <v>4.333333333333333</v>
      </c>
      <c r="R8">
        <f>IF(COUNT(Values!$BQ13,Values!$BZ13,Values!$CJ13)&lt;3,NA(),AVERAGE(Values!$BQ13,Values!$BZ13,6-Values!$CJ13))</f>
        <v>4</v>
      </c>
      <c r="S8">
        <f>IF(COUNT(Values!$I13,Values!$M13,Values!$AB13,Values!$Q13,Values!$T13,Values!$W13)&lt;6,NA(),AVERAGE(Values!$I13,AVERAGE(Values!$M13,Values!$AB13),Values!$Q13,Values!$T13,6-Values!$W13))</f>
        <v>3.3</v>
      </c>
      <c r="T8">
        <f>IF(COUNT(Values!$AJ13,Values!$AQ13,Values!$AX13,Values!$BE13,Values!$BI13)&lt;5,NA(),AVERAGE(Values!$AJ13,Values!$AQ13,Values!$AX13,Values!$BE13,6-Values!$BI13))</f>
        <v>3</v>
      </c>
      <c r="U8">
        <f>IF(COUNT(Values!$BN13,Values!$BU13,Values!$CB13,Values!$CI13,Values!$CM13)&lt;5,NA(),AVERAGE(Values!$BN13,Values!$BU13,Values!$CB13,Values!$CI13,6-Values!$CM13))</f>
        <v>3.2</v>
      </c>
      <c r="V8" t="e">
        <f>IF(COUNT(Values!$H13,Values!$L13,Values!$O13,Values!$R13,Values!$U13)&lt;5,NA(),AVERAGE(Values!$H13,Values!$L13,Values!$O13,6-Values!$R13,Values!$U13))</f>
        <v>#N/A</v>
      </c>
      <c r="W8">
        <f>IF(COUNT(Values!$AI13,Values!$AP13,Values!$AW13,Values!$BD13,Values!$BH13)&lt;5,NA(),AVERAGE(Values!$AI13,Values!$AP13,Values!$AW13,6-Values!$BD13,Values!$BH13))</f>
        <v>3</v>
      </c>
      <c r="X8">
        <f>IF(COUNT(Values!$BM13,Values!$BT13,Values!$CA13,Values!$CH13,Values!$CL13)&lt;5,NA(),AVERAGE(Values!$BM13,Values!$BT13,Values!$CA13,6-Values!$CH13,Values!$CL13))</f>
        <v>2.8</v>
      </c>
      <c r="Y8">
        <f>IF(COUNT(Values!$Z13,Values!$AF13,Values!$AD13)&lt;3,NA(),AVERAGE(Values!$Z13,6-Values!$AF13,Values!$AD13))</f>
        <v>2</v>
      </c>
      <c r="Z8">
        <f>IF(COUNT(Values!$AK13,Values!$AR13,Values!$AY13)&lt;3,NA(),AVERAGE(Values!$AK13,6-Values!$AR13,Values!$AY13))</f>
        <v>3.3333333333333335</v>
      </c>
      <c r="AA8">
        <f>IF(COUNT(Values!$BO13,Values!$BV13,Values!$CC13)&lt;3,NA(),AVERAGE(Values!$BO13,6-Values!$BV13,Values!$CC13))</f>
        <v>3</v>
      </c>
      <c r="AB8">
        <f>IF(COUNT(Values!$J13,Values!$P13,Values!$V13)&lt;3,NA(),AVERAGE(Values!$J13,6-Values!$P13,Values!$V13))</f>
        <v>3.3333333333333335</v>
      </c>
      <c r="AC8">
        <f>IF(COUNT(Values!$AL13,Values!$AT13,Values!$AZ13)&lt;3,NA(),AVERAGE(Values!$AL13,6-Values!$AT13,Values!$AZ13))</f>
        <v>3.6666666666666665</v>
      </c>
      <c r="AD8">
        <f>IF(COUNT(Values!$BP13,Values!$BX13,Values!$CD13)&lt;3,NA(),AVERAGE(Values!$BP13,6-Values!$BX13,Values!$CD13))</f>
        <v>3.6666666666666665</v>
      </c>
      <c r="AE8">
        <f t="shared" si="2"/>
        <v>1.6666666666666665</v>
      </c>
      <c r="AF8">
        <f t="shared" si="3"/>
        <v>0.33333333333333393</v>
      </c>
      <c r="AG8">
        <f t="shared" si="4"/>
        <v>0.66666666666666696</v>
      </c>
      <c r="AH8">
        <f t="shared" si="5"/>
        <v>-0.33333333333333348</v>
      </c>
      <c r="AI8">
        <f t="shared" si="6"/>
        <v>2.333333333333333</v>
      </c>
      <c r="AJ8">
        <f t="shared" si="7"/>
        <v>-0.33333333333333304</v>
      </c>
      <c r="AK8">
        <f t="shared" si="8"/>
        <v>-0.29999999999999982</v>
      </c>
      <c r="AL8">
        <f t="shared" si="9"/>
        <v>0.20000000000000018</v>
      </c>
      <c r="AM8" t="e">
        <f t="shared" si="10"/>
        <v>#N/A</v>
      </c>
      <c r="AN8">
        <f t="shared" si="11"/>
        <v>-0.20000000000000018</v>
      </c>
      <c r="AO8">
        <f t="shared" si="12"/>
        <v>1.3333333333333335</v>
      </c>
      <c r="AP8">
        <f t="shared" si="13"/>
        <v>-0.33333333333333348</v>
      </c>
      <c r="AQ8">
        <f t="shared" si="14"/>
        <v>0.33333333333333304</v>
      </c>
      <c r="AR8">
        <f t="shared" si="15"/>
        <v>0</v>
      </c>
      <c r="AS8">
        <f>Values!$CO13</f>
        <v>2</v>
      </c>
      <c r="AT8">
        <f>Values!$DH13</f>
        <v>3</v>
      </c>
      <c r="AU8">
        <f>Values!$EA13</f>
        <v>3</v>
      </c>
      <c r="AV8">
        <f>Values!$CP13</f>
        <v>1</v>
      </c>
      <c r="AW8">
        <f>Values!$DI13</f>
        <v>2</v>
      </c>
      <c r="AX8">
        <f>Values!$EB13</f>
        <v>3</v>
      </c>
      <c r="AY8">
        <f>Values!$CQ13</f>
        <v>1</v>
      </c>
      <c r="AZ8">
        <f>Values!$DJ13</f>
        <v>3</v>
      </c>
      <c r="BA8">
        <f>Values!$EC13</f>
        <v>2</v>
      </c>
      <c r="BB8">
        <f>Values!$CR13</f>
        <v>1</v>
      </c>
      <c r="BC8">
        <f>Values!$DK13</f>
        <v>3</v>
      </c>
      <c r="BD8">
        <f>Values!$ED13</f>
        <v>2</v>
      </c>
      <c r="BE8">
        <f>Values!$CS13</f>
        <v>2</v>
      </c>
      <c r="BF8">
        <f>Values!$DL13</f>
        <v>3</v>
      </c>
      <c r="BG8">
        <f>Values!$EE13</f>
        <v>4</v>
      </c>
      <c r="BH8">
        <f>Values!$CT13</f>
        <v>1</v>
      </c>
      <c r="BI8">
        <f>Values!$DM13</f>
        <v>3</v>
      </c>
      <c r="BJ8">
        <f>Values!$EF13</f>
        <v>2</v>
      </c>
      <c r="BK8">
        <f>Values!$CU13</f>
        <v>2</v>
      </c>
      <c r="BL8">
        <f>Values!$DN13</f>
        <v>3</v>
      </c>
      <c r="BM8">
        <f>Values!$EG13</f>
        <v>3</v>
      </c>
      <c r="BN8">
        <f>Values!$CV13</f>
        <v>3</v>
      </c>
      <c r="BO8">
        <f>Values!$DO13</f>
        <v>4</v>
      </c>
      <c r="BP8">
        <f>Values!$EH13</f>
        <v>4</v>
      </c>
      <c r="BQ8">
        <f>Values!$CW13</f>
        <v>1</v>
      </c>
      <c r="BR8">
        <f>Values!$DP13</f>
        <v>2</v>
      </c>
      <c r="BS8">
        <f>Values!$EI13</f>
        <v>3</v>
      </c>
      <c r="BT8" t="str">
        <f>Values!$CX13</f>
        <v>NA</v>
      </c>
      <c r="BU8" t="str">
        <f>Values!$DQ13</f>
        <v>NA</v>
      </c>
      <c r="BV8" t="str">
        <f>Values!$EJ13</f>
        <v>NA</v>
      </c>
      <c r="BW8" t="str">
        <f>Values!$CY13</f>
        <v>NA</v>
      </c>
      <c r="BX8" t="str">
        <f>Values!$DR13</f>
        <v>NA</v>
      </c>
      <c r="BY8" t="str">
        <f>Values!$EK13</f>
        <v>NA</v>
      </c>
      <c r="BZ8">
        <f>Values!$CZ13</f>
        <v>2</v>
      </c>
      <c r="CA8">
        <f>Values!$DS13</f>
        <v>3</v>
      </c>
      <c r="CB8">
        <f>Values!$EL13</f>
        <v>3</v>
      </c>
      <c r="CC8" t="str">
        <f>Values!$DA13</f>
        <v>NA</v>
      </c>
      <c r="CD8" t="str">
        <f>Values!$DT13</f>
        <v>NA</v>
      </c>
      <c r="CE8" t="str">
        <f>Values!$EM13</f>
        <v>NA</v>
      </c>
      <c r="CF8" t="str">
        <f>Values!$DB13</f>
        <v>NA</v>
      </c>
      <c r="CG8" t="str">
        <f>Values!$DU13</f>
        <v>NA</v>
      </c>
      <c r="CH8" t="str">
        <f>Values!$EN13</f>
        <v>NA</v>
      </c>
      <c r="CI8">
        <f>Values!$DC13</f>
        <v>1</v>
      </c>
      <c r="CJ8">
        <f>Values!$DV13</f>
        <v>2</v>
      </c>
      <c r="CK8">
        <f>Values!$EO13</f>
        <v>2</v>
      </c>
      <c r="CL8">
        <f>Values!$DD13</f>
        <v>4</v>
      </c>
      <c r="CM8">
        <f>Values!$DW13</f>
        <v>5</v>
      </c>
      <c r="CN8">
        <f>Values!$EP13</f>
        <v>5</v>
      </c>
      <c r="CO8">
        <f>Values!$DE13</f>
        <v>3</v>
      </c>
      <c r="CP8">
        <f>Values!$DX13</f>
        <v>4</v>
      </c>
      <c r="CQ8">
        <f>Values!$EQ13</f>
        <v>4</v>
      </c>
      <c r="CR8">
        <f>Values!$DF13</f>
        <v>3</v>
      </c>
      <c r="CS8">
        <f>Values!$DY13</f>
        <v>4</v>
      </c>
      <c r="CT8">
        <f>Values!$ER13</f>
        <v>4</v>
      </c>
      <c r="CU8">
        <f>Values!$DG13</f>
        <v>3</v>
      </c>
      <c r="CV8">
        <f>Values!$DZ13</f>
        <v>4</v>
      </c>
      <c r="CW8">
        <f>Values!$ES13</f>
        <v>4</v>
      </c>
      <c r="CX8">
        <f t="shared" si="16"/>
        <v>1</v>
      </c>
      <c r="CY8">
        <f t="shared" si="17"/>
        <v>0</v>
      </c>
      <c r="CZ8">
        <f t="shared" si="18"/>
        <v>1</v>
      </c>
      <c r="DA8">
        <f t="shared" si="19"/>
        <v>1</v>
      </c>
      <c r="DB8">
        <f t="shared" si="20"/>
        <v>2</v>
      </c>
      <c r="DC8">
        <f t="shared" si="21"/>
        <v>-1</v>
      </c>
      <c r="DD8">
        <f t="shared" si="22"/>
        <v>2</v>
      </c>
      <c r="DE8">
        <f t="shared" si="23"/>
        <v>-1</v>
      </c>
      <c r="DF8">
        <f t="shared" si="24"/>
        <v>1</v>
      </c>
      <c r="DG8">
        <f t="shared" si="25"/>
        <v>1</v>
      </c>
      <c r="DH8">
        <f t="shared" si="26"/>
        <v>2</v>
      </c>
      <c r="DI8">
        <f t="shared" si="27"/>
        <v>-1</v>
      </c>
      <c r="DJ8">
        <f t="shared" si="28"/>
        <v>1</v>
      </c>
      <c r="DK8">
        <f t="shared" si="29"/>
        <v>0</v>
      </c>
      <c r="DL8">
        <f t="shared" si="30"/>
        <v>1</v>
      </c>
      <c r="DM8">
        <f t="shared" si="31"/>
        <v>0</v>
      </c>
      <c r="DN8">
        <f t="shared" si="32"/>
        <v>1</v>
      </c>
      <c r="DO8">
        <f t="shared" si="33"/>
        <v>1</v>
      </c>
      <c r="DP8" t="str">
        <f t="shared" si="34"/>
        <v>NA</v>
      </c>
      <c r="DQ8" t="str">
        <f t="shared" si="35"/>
        <v>NA</v>
      </c>
      <c r="DR8" t="str">
        <f t="shared" si="36"/>
        <v>NA</v>
      </c>
      <c r="DS8" t="str">
        <f t="shared" si="37"/>
        <v>NA</v>
      </c>
      <c r="DT8">
        <f t="shared" si="38"/>
        <v>1</v>
      </c>
      <c r="DU8">
        <f t="shared" si="39"/>
        <v>0</v>
      </c>
      <c r="DV8" t="str">
        <f t="shared" si="40"/>
        <v>NA</v>
      </c>
      <c r="DW8" t="str">
        <f t="shared" si="41"/>
        <v>NA</v>
      </c>
      <c r="DX8" t="str">
        <f t="shared" si="42"/>
        <v>NA</v>
      </c>
      <c r="DY8" t="str">
        <f t="shared" si="43"/>
        <v>NA</v>
      </c>
      <c r="DZ8">
        <f t="shared" si="44"/>
        <v>1</v>
      </c>
      <c r="EA8">
        <f t="shared" si="45"/>
        <v>0</v>
      </c>
      <c r="EB8">
        <f t="shared" si="46"/>
        <v>1</v>
      </c>
      <c r="EC8">
        <f t="shared" si="47"/>
        <v>0</v>
      </c>
      <c r="ED8">
        <f t="shared" si="48"/>
        <v>1</v>
      </c>
      <c r="EE8">
        <f t="shared" si="49"/>
        <v>0</v>
      </c>
      <c r="EF8">
        <f t="shared" si="50"/>
        <v>1</v>
      </c>
      <c r="EG8">
        <f t="shared" si="51"/>
        <v>0</v>
      </c>
      <c r="EH8">
        <f t="shared" si="52"/>
        <v>1</v>
      </c>
      <c r="EI8">
        <f t="shared" si="53"/>
        <v>0</v>
      </c>
      <c r="EJ8">
        <f>IF(ISNUMBER(Values!$AU13),--(Values!$AU13&gt;=4),0)</f>
        <v>0</v>
      </c>
      <c r="EK8">
        <f>IF(ISNUMBER(Values!$BY13),--(Values!$BY13&gt;=4),0)</f>
        <v>0</v>
      </c>
      <c r="EL8">
        <f>IF(ISNUMBER(Values!$AN13),--(Values!$AN13&gt;=4),0)</f>
        <v>0</v>
      </c>
      <c r="EM8">
        <f>IF(ISNUMBER(Values!$BR13),--(Values!$BR13&gt;=4),0)</f>
        <v>0</v>
      </c>
      <c r="EN8">
        <f>IF(ISNUMBER(Values!$BC13),--(Values!$BC13&gt;=4),0)</f>
        <v>0</v>
      </c>
      <c r="EO8">
        <f>IF(ISNUMBER(Values!$CG13),--(Values!$CG13&gt;=4),0)</f>
        <v>0</v>
      </c>
      <c r="EP8">
        <f>IF(ISNUMBER(Values!$BJ13),--(Values!$BJ13&gt;=4),0)</f>
        <v>0</v>
      </c>
      <c r="EQ8">
        <f>IF(ISNUMBER(Values!$CN13),--(Values!$CN13&gt;=4),0)</f>
        <v>0</v>
      </c>
      <c r="ER8">
        <f>IF(ISNUMBER(Values!$BG13),--(Values!$BG13&gt;=4),0)</f>
        <v>0</v>
      </c>
      <c r="ES8">
        <f>IF(ISNUMBER(Values!$CK13),--(Values!$CK13&gt;=4),0)</f>
        <v>0</v>
      </c>
      <c r="ET8">
        <f>Values!$ET13</f>
        <v>1</v>
      </c>
      <c r="EU8">
        <f>Values!$FA13</f>
        <v>0</v>
      </c>
      <c r="EV8">
        <f>Values!$FH13</f>
        <v>0</v>
      </c>
      <c r="EW8">
        <f>Values!$EU13</f>
        <v>0</v>
      </c>
      <c r="EX8">
        <f>Values!$FB13</f>
        <v>1</v>
      </c>
      <c r="EY8">
        <f>Values!$FI13</f>
        <v>1</v>
      </c>
      <c r="EZ8">
        <f>Values!$EV13</f>
        <v>0</v>
      </c>
      <c r="FA8">
        <f>Values!$FC13</f>
        <v>1</v>
      </c>
      <c r="FB8">
        <f>Values!$FJ13</f>
        <v>1</v>
      </c>
      <c r="FC8">
        <f>Values!$EW13</f>
        <v>0</v>
      </c>
      <c r="FD8">
        <f>Values!$FD13</f>
        <v>0</v>
      </c>
      <c r="FE8">
        <f>Values!$FK13</f>
        <v>0</v>
      </c>
      <c r="FF8">
        <f>Values!$EX13</f>
        <v>0</v>
      </c>
      <c r="FG8">
        <f>Values!$FE13</f>
        <v>0</v>
      </c>
      <c r="FH8">
        <f>Values!$FL13</f>
        <v>0</v>
      </c>
      <c r="FI8">
        <f>Values!$EY13</f>
        <v>0</v>
      </c>
      <c r="FJ8">
        <f>Values!$FF13</f>
        <v>0</v>
      </c>
      <c r="FK8">
        <f>Values!$FM13</f>
        <v>0</v>
      </c>
      <c r="FL8">
        <f>Values!$EZ13</f>
        <v>0</v>
      </c>
      <c r="FM8">
        <f>Values!$FG13</f>
        <v>0</v>
      </c>
      <c r="FN8">
        <f>Values!$FN13</f>
        <v>0</v>
      </c>
      <c r="FO8">
        <f t="shared" si="54"/>
        <v>1</v>
      </c>
      <c r="FP8">
        <f t="shared" si="55"/>
        <v>1</v>
      </c>
      <c r="FQ8">
        <f t="shared" si="56"/>
        <v>0</v>
      </c>
      <c r="FR8">
        <f t="shared" si="57"/>
        <v>0</v>
      </c>
      <c r="FS8">
        <f t="shared" si="58"/>
        <v>0</v>
      </c>
      <c r="FT8">
        <f t="shared" si="59"/>
        <v>0</v>
      </c>
      <c r="FU8">
        <f>Values!$FP13</f>
        <v>0</v>
      </c>
      <c r="FV8">
        <f>Values!$FQ13</f>
        <v>1</v>
      </c>
      <c r="FW8">
        <f>Values!$FR13</f>
        <v>0</v>
      </c>
      <c r="FX8">
        <f>Values!$FS13</f>
        <v>1</v>
      </c>
      <c r="FY8">
        <f>Values!$FT13</f>
        <v>0</v>
      </c>
      <c r="FZ8">
        <f>Values!$FU13</f>
        <v>1</v>
      </c>
      <c r="GA8">
        <f t="shared" si="60"/>
        <v>0</v>
      </c>
      <c r="GB8">
        <f t="shared" si="61"/>
        <v>0</v>
      </c>
      <c r="GC8">
        <f t="shared" si="62"/>
        <v>0</v>
      </c>
      <c r="GD8">
        <f t="shared" si="63"/>
        <v>1</v>
      </c>
      <c r="GE8">
        <f t="shared" si="64"/>
        <v>0</v>
      </c>
      <c r="GF8">
        <f t="shared" si="65"/>
        <v>1</v>
      </c>
      <c r="GG8" t="str">
        <f t="array" ref="GG8">IF(_xlfn.TEXTJOIN(";",TRUE,IF((Values!$B$2:$FU$2="item")*(Values!$B13:$FU13=""),Values!$B$5:$FU$5,""))="",0,_xlfn.TEXTJOIN(";",TRUE,IF((Values!$B$2:$FU$2="item")*(Values!$B13:$FU13=""),Values!$B$5:$FU$5,"")))</f>
        <v>N3</v>
      </c>
      <c r="GH8">
        <f t="shared" si="66"/>
        <v>0</v>
      </c>
      <c r="GI8">
        <f t="shared" si="67"/>
        <v>0</v>
      </c>
      <c r="GJ8">
        <f t="shared" si="68"/>
        <v>0</v>
      </c>
      <c r="GK8">
        <f t="shared" si="69"/>
        <v>0</v>
      </c>
      <c r="GL8">
        <f>Pattern!$W8</f>
        <v>0</v>
      </c>
      <c r="GM8">
        <f>Pattern!$AS8</f>
        <v>0</v>
      </c>
      <c r="GN8">
        <f>Pattern!$BO8</f>
        <v>0</v>
      </c>
      <c r="GO8">
        <f>Pattern!$BQ8</f>
        <v>0</v>
      </c>
      <c r="GP8">
        <f>Pattern!$S8</f>
        <v>3</v>
      </c>
      <c r="GQ8">
        <f>Pattern!$AO8</f>
        <v>3</v>
      </c>
      <c r="GR8">
        <f>Pattern!$BK8</f>
        <v>3</v>
      </c>
      <c r="GS8">
        <f>Pattern!$V8</f>
        <v>0.625</v>
      </c>
      <c r="GT8">
        <f>Pattern!$AR8</f>
        <v>0.53333333333333333</v>
      </c>
      <c r="GU8">
        <f>Pattern!$BN8</f>
        <v>0.5</v>
      </c>
      <c r="GV8">
        <f>Pattern!$T8</f>
        <v>1</v>
      </c>
      <c r="GW8">
        <f>Pattern!$AP8</f>
        <v>3</v>
      </c>
      <c r="GX8">
        <f>Pattern!$BL8</f>
        <v>4</v>
      </c>
      <c r="GY8">
        <f>Pattern!$BP8</f>
        <v>21</v>
      </c>
      <c r="GZ8">
        <f>Values!$X13</f>
        <v>3</v>
      </c>
      <c r="HA8">
        <f>Values!$AC13</f>
        <v>3</v>
      </c>
      <c r="HB8">
        <f>Values!$K13</f>
        <v>4</v>
      </c>
      <c r="HC8">
        <f>Values!$G13</f>
        <v>3</v>
      </c>
      <c r="HD8">
        <f>Values!$AA13</f>
        <v>4</v>
      </c>
      <c r="HE8">
        <f>Values!$S13</f>
        <v>3</v>
      </c>
      <c r="HF8">
        <f>Values!$Y13</f>
        <v>2</v>
      </c>
      <c r="HG8">
        <f>Values!$AE13</f>
        <v>2</v>
      </c>
      <c r="HH8">
        <f>Values!$N13</f>
        <v>4</v>
      </c>
      <c r="HI8">
        <f>Values!$I13</f>
        <v>4</v>
      </c>
      <c r="HJ8">
        <f>Values!$M13</f>
        <v>3</v>
      </c>
      <c r="HK8">
        <f>Values!$AB13</f>
        <v>4</v>
      </c>
      <c r="HL8">
        <f>Values!$Q13</f>
        <v>3</v>
      </c>
      <c r="HM8">
        <f>Values!$T13</f>
        <v>3</v>
      </c>
      <c r="HN8">
        <f>Values!$W13</f>
        <v>3</v>
      </c>
      <c r="HO8">
        <f>Values!$H13</f>
        <v>2</v>
      </c>
      <c r="HP8">
        <f>Values!$L13</f>
        <v>3</v>
      </c>
      <c r="HQ8" t="str">
        <f>Values!$O13</f>
        <v/>
      </c>
      <c r="HR8">
        <f>Values!$R13</f>
        <v>4</v>
      </c>
      <c r="HS8">
        <f>Values!$U13</f>
        <v>3</v>
      </c>
      <c r="HT8">
        <f>Values!$Z13</f>
        <v>2</v>
      </c>
      <c r="HU8">
        <f>Values!$AF13</f>
        <v>4</v>
      </c>
      <c r="HV8">
        <f>Values!$AD13</f>
        <v>2</v>
      </c>
      <c r="HW8">
        <f>Values!$J13</f>
        <v>3</v>
      </c>
      <c r="HX8">
        <f>Values!$P13</f>
        <v>2</v>
      </c>
      <c r="HY8">
        <f>Values!$V13</f>
        <v>3</v>
      </c>
      <c r="HZ8">
        <f>Values!$AG13</f>
        <v>4</v>
      </c>
      <c r="IA8">
        <f>Values!$BK13</f>
        <v>4</v>
      </c>
      <c r="IB8">
        <f>Values!$AO13</f>
        <v>5</v>
      </c>
      <c r="IC8">
        <f>Values!$BS13</f>
        <v>5</v>
      </c>
      <c r="ID8">
        <f>Values!$BB13</f>
        <v>2</v>
      </c>
      <c r="IE8">
        <f>Values!$CF13</f>
        <v>1</v>
      </c>
      <c r="IF8">
        <f>Values!$AH13</f>
        <v>3</v>
      </c>
      <c r="IG8">
        <f>Values!$BL13</f>
        <v>3</v>
      </c>
      <c r="IH8">
        <f>Values!$AS13</f>
        <v>2</v>
      </c>
      <c r="II8">
        <f>Values!$BW13</f>
        <v>3</v>
      </c>
      <c r="IJ8">
        <f>Values!$BA13</f>
        <v>3</v>
      </c>
      <c r="IK8">
        <f>Values!$CE13</f>
        <v>3</v>
      </c>
      <c r="IL8">
        <f>Values!$AM13</f>
        <v>4</v>
      </c>
      <c r="IM8">
        <f>Values!$BQ13</f>
        <v>4</v>
      </c>
      <c r="IN8">
        <f>Values!$AV13</f>
        <v>4</v>
      </c>
      <c r="IO8">
        <f>Values!$BZ13</f>
        <v>4</v>
      </c>
      <c r="IP8">
        <f>Values!$BF13</f>
        <v>1</v>
      </c>
      <c r="IQ8">
        <f>Values!$CJ13</f>
        <v>2</v>
      </c>
      <c r="IR8">
        <f>Values!$AJ13</f>
        <v>3</v>
      </c>
      <c r="IS8">
        <f>Values!$BN13</f>
        <v>3</v>
      </c>
      <c r="IT8">
        <f>Values!$AQ13</f>
        <v>3</v>
      </c>
      <c r="IU8">
        <f>Values!$BU13</f>
        <v>4</v>
      </c>
      <c r="IV8">
        <f>Values!$AX13</f>
        <v>3</v>
      </c>
      <c r="IW8">
        <f>Values!$CB13</f>
        <v>3</v>
      </c>
      <c r="IX8">
        <f>Values!$BE13</f>
        <v>3</v>
      </c>
      <c r="IY8">
        <f>Values!$CI13</f>
        <v>3</v>
      </c>
      <c r="IZ8">
        <f>Values!$BI13</f>
        <v>3</v>
      </c>
      <c r="JA8">
        <f>Values!$CM13</f>
        <v>3</v>
      </c>
      <c r="JB8">
        <f>Values!$AI13</f>
        <v>3</v>
      </c>
      <c r="JC8">
        <f>Values!$BM13</f>
        <v>3</v>
      </c>
      <c r="JD8">
        <f>Values!$AP13</f>
        <v>3</v>
      </c>
      <c r="JE8">
        <f>Values!$BT13</f>
        <v>3</v>
      </c>
      <c r="JF8">
        <f>Values!$AW13</f>
        <v>3</v>
      </c>
      <c r="JG8">
        <f>Values!$CA13</f>
        <v>2</v>
      </c>
      <c r="JH8">
        <f>Values!$BD13</f>
        <v>3</v>
      </c>
      <c r="JI8">
        <f>Values!$CH13</f>
        <v>2</v>
      </c>
      <c r="JJ8">
        <f>Values!$BH13</f>
        <v>3</v>
      </c>
      <c r="JK8">
        <f>Values!$CL13</f>
        <v>2</v>
      </c>
      <c r="JL8">
        <f>Values!$AK13</f>
        <v>3</v>
      </c>
      <c r="JM8">
        <f>Values!$BO13</f>
        <v>3</v>
      </c>
      <c r="JN8">
        <f>Values!$AR13</f>
        <v>2</v>
      </c>
      <c r="JO8">
        <f>Values!$BV13</f>
        <v>3</v>
      </c>
      <c r="JP8">
        <f>Values!$AY13</f>
        <v>3</v>
      </c>
      <c r="JQ8">
        <f>Values!$CC13</f>
        <v>3</v>
      </c>
      <c r="JR8">
        <f>Values!$AL13</f>
        <v>4</v>
      </c>
      <c r="JS8">
        <f>Values!$BP13</f>
        <v>4</v>
      </c>
      <c r="JT8">
        <f>Values!$AT13</f>
        <v>3</v>
      </c>
      <c r="JU8">
        <f>Values!$BX13</f>
        <v>3</v>
      </c>
      <c r="JV8">
        <f>Values!$AZ13</f>
        <v>4</v>
      </c>
      <c r="JW8">
        <f>Values!$CD13</f>
        <v>4</v>
      </c>
      <c r="JX8">
        <f>Values!$AU13</f>
        <v>2</v>
      </c>
      <c r="JY8">
        <f>Values!$BY13</f>
        <v>2</v>
      </c>
      <c r="JZ8">
        <f>Values!$AN13</f>
        <v>2</v>
      </c>
      <c r="KA8">
        <f>Values!$BR13</f>
        <v>2</v>
      </c>
      <c r="KB8">
        <f>Values!$BC13</f>
        <v>2</v>
      </c>
      <c r="KC8">
        <f>Values!$CG13</f>
        <v>3</v>
      </c>
      <c r="KD8">
        <f>Values!$BJ13</f>
        <v>2</v>
      </c>
      <c r="KE8">
        <f>Values!$CN13</f>
        <v>2</v>
      </c>
      <c r="KF8">
        <f>Values!$BG13</f>
        <v>3</v>
      </c>
      <c r="KG8">
        <f>Values!$CK13</f>
        <v>3</v>
      </c>
    </row>
    <row r="9" spans="1:293" x14ac:dyDescent="0.45">
      <c r="A9">
        <f t="shared" si="0"/>
        <v>1</v>
      </c>
      <c r="B9" t="str">
        <f>Values!$A$14</f>
        <v>Jonas Weber</v>
      </c>
      <c r="C9" t="str">
        <f>TEXT(Responses!$C$9,"yyyy-mm-dd")</f>
        <v>2026-09-18</v>
      </c>
      <c r="D9">
        <f t="shared" si="1"/>
        <v>9</v>
      </c>
      <c r="E9">
        <f>Values!$B14</f>
        <v>3</v>
      </c>
      <c r="F9">
        <f>Values!$C14</f>
        <v>1</v>
      </c>
      <c r="G9">
        <f>Values!$D14</f>
        <v>2</v>
      </c>
      <c r="H9">
        <f>Values!$E14</f>
        <v>1</v>
      </c>
      <c r="I9">
        <f>Values!$F14</f>
        <v>1</v>
      </c>
      <c r="J9">
        <f>IF(COUNT(Values!$X14,Values!$AC14,Values!$K14)&lt;3,NA(),AVERAGE(Values!$X14,Values!$AC14,6-Values!$K14))</f>
        <v>3</v>
      </c>
      <c r="K9">
        <f>IF(COUNT(Values!$AG14,Values!$AO14,Values!$BB14)&lt;3,NA(),AVERAGE(Values!$AG14,Values!$AO14,6-Values!$BB14))</f>
        <v>3.3333333333333335</v>
      </c>
      <c r="L9">
        <f>IF(COUNT(Values!$BK14,Values!$BS14,Values!$CF14)&lt;3,NA(),AVERAGE(Values!$BK14,Values!$BS14,6-Values!$CF14))</f>
        <v>3.3333333333333335</v>
      </c>
      <c r="M9">
        <f>IF(COUNT(Values!$G14,Values!$AA14,Values!$S14)&lt;3,NA(),AVERAGE(Values!$G14,6-Values!$AA14,Values!$S14))</f>
        <v>2.3333333333333335</v>
      </c>
      <c r="N9">
        <f>IF(COUNT(Values!$AH14,Values!$AS14,Values!$BA14)&lt;3,NA(),AVERAGE(Values!$AH14,6-Values!$AS14,Values!$BA14))</f>
        <v>3.3333333333333335</v>
      </c>
      <c r="O9">
        <f>IF(COUNT(Values!$BL14,Values!$BW14,Values!$CE14)&lt;3,NA(),AVERAGE(Values!$BL14,6-Values!$BW14,Values!$CE14))</f>
        <v>3.3333333333333335</v>
      </c>
      <c r="P9">
        <f>IF(COUNT(Values!$Y14,Values!$AE14,Values!$N14)&lt;3,NA(),AVERAGE(Values!$Y14,Values!$AE14,6-Values!$N14))</f>
        <v>3.3333333333333335</v>
      </c>
      <c r="Q9">
        <f>IF(COUNT(Values!$AM14,Values!$AV14,Values!$BF14)&lt;3,NA(),AVERAGE(Values!$AM14,Values!$AV14,6-Values!$BF14))</f>
        <v>3.3333333333333335</v>
      </c>
      <c r="R9">
        <f>IF(COUNT(Values!$BQ14,Values!$BZ14,Values!$CJ14)&lt;3,NA(),AVERAGE(Values!$BQ14,Values!$BZ14,6-Values!$CJ14))</f>
        <v>3.3333333333333335</v>
      </c>
      <c r="S9">
        <f>IF(COUNT(Values!$I14,Values!$M14,Values!$AB14,Values!$Q14,Values!$T14,Values!$W14)&lt;6,NA(),AVERAGE(Values!$I14,AVERAGE(Values!$M14,Values!$AB14),Values!$Q14,Values!$T14,6-Values!$W14))</f>
        <v>3.1</v>
      </c>
      <c r="T9">
        <f>IF(COUNT(Values!$AJ14,Values!$AQ14,Values!$AX14,Values!$BE14,Values!$BI14)&lt;5,NA(),AVERAGE(Values!$AJ14,Values!$AQ14,Values!$AX14,Values!$BE14,6-Values!$BI14))</f>
        <v>3.6</v>
      </c>
      <c r="U9">
        <f>IF(COUNT(Values!$BN14,Values!$BU14,Values!$CB14,Values!$CI14,Values!$CM14)&lt;5,NA(),AVERAGE(Values!$BN14,Values!$BU14,Values!$CB14,Values!$CI14,6-Values!$CM14))</f>
        <v>3.6</v>
      </c>
      <c r="V9">
        <f>IF(COUNT(Values!$H14,Values!$L14,Values!$O14,Values!$R14,Values!$U14)&lt;5,NA(),AVERAGE(Values!$H14,Values!$L14,Values!$O14,6-Values!$R14,Values!$U14))</f>
        <v>3.2</v>
      </c>
      <c r="W9">
        <f>IF(COUNT(Values!$AI14,Values!$AP14,Values!$AW14,Values!$BD14,Values!$BH14)&lt;5,NA(),AVERAGE(Values!$AI14,Values!$AP14,Values!$AW14,6-Values!$BD14,Values!$BH14))</f>
        <v>3.6</v>
      </c>
      <c r="X9">
        <f>IF(COUNT(Values!$BM14,Values!$BT14,Values!$CA14,Values!$CH14,Values!$CL14)&lt;5,NA(),AVERAGE(Values!$BM14,Values!$BT14,Values!$CA14,6-Values!$CH14,Values!$CL14))</f>
        <v>3.6</v>
      </c>
      <c r="Y9">
        <f>IF(COUNT(Values!$Z14,Values!$AF14,Values!$AD14)&lt;3,NA(),AVERAGE(Values!$Z14,6-Values!$AF14,Values!$AD14))</f>
        <v>2.6666666666666665</v>
      </c>
      <c r="Z9">
        <f>IF(COUNT(Values!$AK14,Values!$AR14,Values!$AY14)&lt;3,NA(),AVERAGE(Values!$AK14,6-Values!$AR14,Values!$AY14))</f>
        <v>3.3333333333333335</v>
      </c>
      <c r="AA9">
        <f>IF(COUNT(Values!$BO14,Values!$BV14,Values!$CC14)&lt;3,NA(),AVERAGE(Values!$BO14,6-Values!$BV14,Values!$CC14))</f>
        <v>3.3333333333333335</v>
      </c>
      <c r="AB9">
        <f>IF(COUNT(Values!$J14,Values!$P14,Values!$V14)&lt;3,NA(),AVERAGE(Values!$J14,6-Values!$P14,Values!$V14))</f>
        <v>3.6666666666666665</v>
      </c>
      <c r="AC9">
        <f>IF(COUNT(Values!$AL14,Values!$AT14,Values!$AZ14)&lt;3,NA(),AVERAGE(Values!$AL14,6-Values!$AT14,Values!$AZ14))</f>
        <v>3.3333333333333335</v>
      </c>
      <c r="AD9">
        <f>IF(COUNT(Values!$BP14,Values!$BX14,Values!$CD14)&lt;3,NA(),AVERAGE(Values!$BP14,6-Values!$BX14,Values!$CD14))</f>
        <v>3.3333333333333335</v>
      </c>
      <c r="AE9">
        <f t="shared" si="2"/>
        <v>0.33333333333333348</v>
      </c>
      <c r="AF9">
        <f t="shared" si="3"/>
        <v>0</v>
      </c>
      <c r="AG9">
        <f t="shared" si="4"/>
        <v>1</v>
      </c>
      <c r="AH9">
        <f t="shared" si="5"/>
        <v>0</v>
      </c>
      <c r="AI9">
        <f t="shared" si="6"/>
        <v>0</v>
      </c>
      <c r="AJ9">
        <f t="shared" si="7"/>
        <v>0</v>
      </c>
      <c r="AK9">
        <f t="shared" si="8"/>
        <v>0.5</v>
      </c>
      <c r="AL9">
        <f t="shared" si="9"/>
        <v>0</v>
      </c>
      <c r="AM9">
        <f t="shared" si="10"/>
        <v>0.39999999999999991</v>
      </c>
      <c r="AN9">
        <f t="shared" si="11"/>
        <v>0</v>
      </c>
      <c r="AO9">
        <f t="shared" si="12"/>
        <v>0.66666666666666696</v>
      </c>
      <c r="AP9">
        <f t="shared" si="13"/>
        <v>0</v>
      </c>
      <c r="AQ9">
        <f t="shared" si="14"/>
        <v>-0.33333333333333304</v>
      </c>
      <c r="AR9">
        <f t="shared" si="15"/>
        <v>0</v>
      </c>
      <c r="AS9">
        <f>Values!$CO14</f>
        <v>3</v>
      </c>
      <c r="AT9">
        <f>Values!$DH14</f>
        <v>5</v>
      </c>
      <c r="AU9">
        <f>Values!$EA14</f>
        <v>4</v>
      </c>
      <c r="AV9">
        <f>Values!$CP14</f>
        <v>3</v>
      </c>
      <c r="AW9">
        <f>Values!$DI14</f>
        <v>5</v>
      </c>
      <c r="AX9">
        <f>Values!$EB14</f>
        <v>4</v>
      </c>
      <c r="AY9">
        <f>Values!$CQ14</f>
        <v>3</v>
      </c>
      <c r="AZ9">
        <f>Values!$DJ14</f>
        <v>5</v>
      </c>
      <c r="BA9">
        <f>Values!$EC14</f>
        <v>4</v>
      </c>
      <c r="BB9">
        <f>Values!$CR14</f>
        <v>3</v>
      </c>
      <c r="BC9">
        <f>Values!$DK14</f>
        <v>4</v>
      </c>
      <c r="BD9">
        <f>Values!$ED14</f>
        <v>5</v>
      </c>
      <c r="BE9">
        <f>Values!$CS14</f>
        <v>3</v>
      </c>
      <c r="BF9">
        <f>Values!$DL14</f>
        <v>4</v>
      </c>
      <c r="BG9">
        <f>Values!$EE14</f>
        <v>4</v>
      </c>
      <c r="BH9">
        <f>Values!$CT14</f>
        <v>3</v>
      </c>
      <c r="BI9">
        <f>Values!$DM14</f>
        <v>4</v>
      </c>
      <c r="BJ9">
        <f>Values!$EF14</f>
        <v>5</v>
      </c>
      <c r="BK9">
        <f>Values!$CU14</f>
        <v>3</v>
      </c>
      <c r="BL9">
        <f>Values!$DN14</f>
        <v>4</v>
      </c>
      <c r="BM9">
        <f>Values!$EG14</f>
        <v>4</v>
      </c>
      <c r="BN9">
        <f>Values!$CV14</f>
        <v>3</v>
      </c>
      <c r="BO9">
        <f>Values!$DO14</f>
        <v>4</v>
      </c>
      <c r="BP9">
        <f>Values!$EH14</f>
        <v>5</v>
      </c>
      <c r="BQ9">
        <f>Values!$CW14</f>
        <v>2</v>
      </c>
      <c r="BR9">
        <f>Values!$DP14</f>
        <v>3</v>
      </c>
      <c r="BS9">
        <f>Values!$EI14</f>
        <v>3</v>
      </c>
      <c r="BT9">
        <f>Values!$CX14</f>
        <v>2</v>
      </c>
      <c r="BU9">
        <f>Values!$DQ14</f>
        <v>3</v>
      </c>
      <c r="BV9">
        <f>Values!$EJ14</f>
        <v>3</v>
      </c>
      <c r="BW9" t="str">
        <f>Values!$CY14</f>
        <v>NA</v>
      </c>
      <c r="BX9" t="str">
        <f>Values!$DR14</f>
        <v>NA</v>
      </c>
      <c r="BY9" t="str">
        <f>Values!$EK14</f>
        <v>NA</v>
      </c>
      <c r="BZ9">
        <f>Values!$CZ14</f>
        <v>1</v>
      </c>
      <c r="CA9">
        <f>Values!$DS14</f>
        <v>3</v>
      </c>
      <c r="CB9">
        <f>Values!$EL14</f>
        <v>2</v>
      </c>
      <c r="CC9">
        <f>Values!$DA14</f>
        <v>2</v>
      </c>
      <c r="CD9">
        <f>Values!$DT14</f>
        <v>3</v>
      </c>
      <c r="CE9">
        <f>Values!$EM14</f>
        <v>3</v>
      </c>
      <c r="CF9">
        <f>Values!$DB14</f>
        <v>3</v>
      </c>
      <c r="CG9">
        <f>Values!$DU14</f>
        <v>5</v>
      </c>
      <c r="CH9">
        <f>Values!$EN14</f>
        <v>5</v>
      </c>
      <c r="CI9">
        <f>Values!$DC14</f>
        <v>2</v>
      </c>
      <c r="CJ9">
        <f>Values!$DV14</f>
        <v>4</v>
      </c>
      <c r="CK9">
        <f>Values!$EO14</f>
        <v>3</v>
      </c>
      <c r="CL9">
        <f>Values!$DD14</f>
        <v>3</v>
      </c>
      <c r="CM9">
        <f>Values!$DW14</f>
        <v>4</v>
      </c>
      <c r="CN9">
        <f>Values!$EP14</f>
        <v>4</v>
      </c>
      <c r="CO9">
        <f>Values!$DE14</f>
        <v>3</v>
      </c>
      <c r="CP9">
        <f>Values!$DX14</f>
        <v>4</v>
      </c>
      <c r="CQ9">
        <f>Values!$EQ14</f>
        <v>4</v>
      </c>
      <c r="CR9">
        <f>Values!$DF14</f>
        <v>3</v>
      </c>
      <c r="CS9">
        <f>Values!$DY14</f>
        <v>4</v>
      </c>
      <c r="CT9">
        <f>Values!$ER14</f>
        <v>5</v>
      </c>
      <c r="CU9">
        <f>Values!$DG14</f>
        <v>3</v>
      </c>
      <c r="CV9">
        <f>Values!$DZ14</f>
        <v>4</v>
      </c>
      <c r="CW9">
        <f>Values!$ES14</f>
        <v>4</v>
      </c>
      <c r="CX9">
        <f t="shared" si="16"/>
        <v>2</v>
      </c>
      <c r="CY9">
        <f t="shared" si="17"/>
        <v>-1</v>
      </c>
      <c r="CZ9">
        <f t="shared" si="18"/>
        <v>2</v>
      </c>
      <c r="DA9">
        <f t="shared" si="19"/>
        <v>-1</v>
      </c>
      <c r="DB9">
        <f t="shared" si="20"/>
        <v>2</v>
      </c>
      <c r="DC9">
        <f t="shared" si="21"/>
        <v>-1</v>
      </c>
      <c r="DD9">
        <f t="shared" si="22"/>
        <v>1</v>
      </c>
      <c r="DE9">
        <f t="shared" si="23"/>
        <v>1</v>
      </c>
      <c r="DF9">
        <f t="shared" si="24"/>
        <v>1</v>
      </c>
      <c r="DG9">
        <f t="shared" si="25"/>
        <v>0</v>
      </c>
      <c r="DH9">
        <f t="shared" si="26"/>
        <v>1</v>
      </c>
      <c r="DI9">
        <f t="shared" si="27"/>
        <v>1</v>
      </c>
      <c r="DJ9">
        <f t="shared" si="28"/>
        <v>1</v>
      </c>
      <c r="DK9">
        <f t="shared" si="29"/>
        <v>0</v>
      </c>
      <c r="DL9">
        <f t="shared" si="30"/>
        <v>1</v>
      </c>
      <c r="DM9">
        <f t="shared" si="31"/>
        <v>1</v>
      </c>
      <c r="DN9">
        <f t="shared" si="32"/>
        <v>1</v>
      </c>
      <c r="DO9">
        <f t="shared" si="33"/>
        <v>0</v>
      </c>
      <c r="DP9">
        <f t="shared" si="34"/>
        <v>1</v>
      </c>
      <c r="DQ9">
        <f t="shared" si="35"/>
        <v>0</v>
      </c>
      <c r="DR9" t="str">
        <f t="shared" si="36"/>
        <v>NA</v>
      </c>
      <c r="DS9" t="str">
        <f t="shared" si="37"/>
        <v>NA</v>
      </c>
      <c r="DT9">
        <f t="shared" si="38"/>
        <v>2</v>
      </c>
      <c r="DU9">
        <f t="shared" si="39"/>
        <v>-1</v>
      </c>
      <c r="DV9">
        <f t="shared" si="40"/>
        <v>1</v>
      </c>
      <c r="DW9">
        <f t="shared" si="41"/>
        <v>0</v>
      </c>
      <c r="DX9">
        <f t="shared" si="42"/>
        <v>2</v>
      </c>
      <c r="DY9">
        <f t="shared" si="43"/>
        <v>0</v>
      </c>
      <c r="DZ9">
        <f t="shared" si="44"/>
        <v>2</v>
      </c>
      <c r="EA9">
        <f t="shared" si="45"/>
        <v>-1</v>
      </c>
      <c r="EB9">
        <f t="shared" si="46"/>
        <v>1</v>
      </c>
      <c r="EC9">
        <f t="shared" si="47"/>
        <v>0</v>
      </c>
      <c r="ED9">
        <f t="shared" si="48"/>
        <v>1</v>
      </c>
      <c r="EE9">
        <f t="shared" si="49"/>
        <v>0</v>
      </c>
      <c r="EF9">
        <f t="shared" si="50"/>
        <v>1</v>
      </c>
      <c r="EG9">
        <f t="shared" si="51"/>
        <v>1</v>
      </c>
      <c r="EH9">
        <f t="shared" si="52"/>
        <v>1</v>
      </c>
      <c r="EI9">
        <f t="shared" si="53"/>
        <v>0</v>
      </c>
      <c r="EJ9">
        <f>IF(ISNUMBER(Values!$AU14),--(Values!$AU14&gt;=4),0)</f>
        <v>1</v>
      </c>
      <c r="EK9">
        <f>IF(ISNUMBER(Values!$BY14),--(Values!$BY14&gt;=4),0)</f>
        <v>1</v>
      </c>
      <c r="EL9">
        <f>IF(ISNUMBER(Values!$AN14),--(Values!$AN14&gt;=4),0)</f>
        <v>1</v>
      </c>
      <c r="EM9">
        <f>IF(ISNUMBER(Values!$BR14),--(Values!$BR14&gt;=4),0)</f>
        <v>1</v>
      </c>
      <c r="EN9">
        <f>IF(ISNUMBER(Values!$BC14),--(Values!$BC14&gt;=4),0)</f>
        <v>1</v>
      </c>
      <c r="EO9">
        <f>IF(ISNUMBER(Values!$CG14),--(Values!$CG14&gt;=4),0)</f>
        <v>1</v>
      </c>
      <c r="EP9">
        <f>IF(ISNUMBER(Values!$BJ14),--(Values!$BJ14&gt;=4),0)</f>
        <v>1</v>
      </c>
      <c r="EQ9">
        <f>IF(ISNUMBER(Values!$CN14),--(Values!$CN14&gt;=4),0)</f>
        <v>1</v>
      </c>
      <c r="ER9">
        <f>IF(ISNUMBER(Values!$BG14),--(Values!$BG14&gt;=4),0)</f>
        <v>1</v>
      </c>
      <c r="ES9">
        <f>IF(ISNUMBER(Values!$CK14),--(Values!$CK14&gt;=4),0)</f>
        <v>1</v>
      </c>
      <c r="ET9">
        <f>Values!$ET14</f>
        <v>0</v>
      </c>
      <c r="EU9">
        <f>Values!$FA14</f>
        <v>0</v>
      </c>
      <c r="EV9">
        <f>Values!$FH14</f>
        <v>0</v>
      </c>
      <c r="EW9">
        <f>Values!$EU14</f>
        <v>0</v>
      </c>
      <c r="EX9">
        <f>Values!$FB14</f>
        <v>0</v>
      </c>
      <c r="EY9">
        <f>Values!$FI14</f>
        <v>0</v>
      </c>
      <c r="EZ9">
        <f>Values!$EV14</f>
        <v>1</v>
      </c>
      <c r="FA9">
        <f>Values!$FC14</f>
        <v>1</v>
      </c>
      <c r="FB9">
        <f>Values!$FJ14</f>
        <v>1</v>
      </c>
      <c r="FC9">
        <f>Values!$EW14</f>
        <v>0</v>
      </c>
      <c r="FD9">
        <f>Values!$FD14</f>
        <v>1</v>
      </c>
      <c r="FE9">
        <f>Values!$FK14</f>
        <v>1</v>
      </c>
      <c r="FF9">
        <f>Values!$EX14</f>
        <v>0</v>
      </c>
      <c r="FG9">
        <f>Values!$FE14</f>
        <v>0</v>
      </c>
      <c r="FH9">
        <f>Values!$FL14</f>
        <v>0</v>
      </c>
      <c r="FI9">
        <f>Values!$EY14</f>
        <v>0</v>
      </c>
      <c r="FJ9">
        <f>Values!$FF14</f>
        <v>0</v>
      </c>
      <c r="FK9">
        <f>Values!$FM14</f>
        <v>0</v>
      </c>
      <c r="FL9">
        <f>Values!$EZ14</f>
        <v>0</v>
      </c>
      <c r="FM9">
        <f>Values!$FG14</f>
        <v>0</v>
      </c>
      <c r="FN9">
        <f>Values!$FN14</f>
        <v>0</v>
      </c>
      <c r="FO9">
        <f t="shared" si="54"/>
        <v>0</v>
      </c>
      <c r="FP9">
        <f t="shared" si="55"/>
        <v>0</v>
      </c>
      <c r="FQ9">
        <f t="shared" si="56"/>
        <v>1</v>
      </c>
      <c r="FR9">
        <f t="shared" si="57"/>
        <v>0</v>
      </c>
      <c r="FS9">
        <f t="shared" si="58"/>
        <v>0</v>
      </c>
      <c r="FT9">
        <f t="shared" si="59"/>
        <v>0</v>
      </c>
      <c r="FU9">
        <f>Values!$FP14</f>
        <v>0</v>
      </c>
      <c r="FV9">
        <f>Values!$FQ14</f>
        <v>0</v>
      </c>
      <c r="FW9">
        <f>Values!$FR14</f>
        <v>0</v>
      </c>
      <c r="FX9">
        <f>Values!$FS14</f>
        <v>1</v>
      </c>
      <c r="FY9">
        <f>Values!$FT14</f>
        <v>0</v>
      </c>
      <c r="FZ9">
        <f>Values!$FU14</f>
        <v>0</v>
      </c>
      <c r="GA9">
        <f t="shared" si="60"/>
        <v>0</v>
      </c>
      <c r="GB9">
        <f t="shared" si="61"/>
        <v>0</v>
      </c>
      <c r="GC9">
        <f t="shared" si="62"/>
        <v>0</v>
      </c>
      <c r="GD9">
        <f t="shared" si="63"/>
        <v>1</v>
      </c>
      <c r="GE9">
        <f t="shared" si="64"/>
        <v>0</v>
      </c>
      <c r="GF9">
        <f t="shared" si="65"/>
        <v>0</v>
      </c>
      <c r="GG9">
        <f t="array" ref="GG9">IF(_xlfn.TEXTJOIN(";",TRUE,IF((Values!$B$2:$FU$2="item")*(Values!$B14:$FU14=""),Values!$B$5:$FU$5,""))="",0,_xlfn.TEXTJOIN(";",TRUE,IF((Values!$B$2:$FU$2="item")*(Values!$B14:$FU14=""),Values!$B$5:$FU$5,"")))</f>
        <v>0</v>
      </c>
      <c r="GH9">
        <f t="shared" si="66"/>
        <v>0</v>
      </c>
      <c r="GI9">
        <f t="shared" si="67"/>
        <v>0</v>
      </c>
      <c r="GJ9">
        <f t="shared" si="68"/>
        <v>0</v>
      </c>
      <c r="GK9">
        <f t="shared" si="69"/>
        <v>0</v>
      </c>
      <c r="GL9">
        <f>Pattern!$W9</f>
        <v>0</v>
      </c>
      <c r="GM9">
        <f>Pattern!$AS9</f>
        <v>1</v>
      </c>
      <c r="GN9">
        <f>Pattern!$BO9</f>
        <v>1</v>
      </c>
      <c r="GO9">
        <f>Pattern!$BQ9</f>
        <v>1</v>
      </c>
      <c r="GP9">
        <f>Pattern!$S9</f>
        <v>3</v>
      </c>
      <c r="GQ9">
        <f>Pattern!$AO9</f>
        <v>4</v>
      </c>
      <c r="GR9">
        <f>Pattern!$BK9</f>
        <v>4</v>
      </c>
      <c r="GS9">
        <f>Pattern!$V9</f>
        <v>0.58823529411764708</v>
      </c>
      <c r="GT9">
        <f>Pattern!$AR9</f>
        <v>1</v>
      </c>
      <c r="GU9">
        <f>Pattern!$BN9</f>
        <v>1</v>
      </c>
      <c r="GV9">
        <f>Pattern!$T9</f>
        <v>4</v>
      </c>
      <c r="GW9">
        <f>Pattern!$AP9</f>
        <v>7</v>
      </c>
      <c r="GX9">
        <f>Pattern!$BL9</f>
        <v>7</v>
      </c>
      <c r="GY9">
        <f>Pattern!$BP9</f>
        <v>30</v>
      </c>
      <c r="GZ9">
        <f>Values!$X14</f>
        <v>3</v>
      </c>
      <c r="HA9">
        <f>Values!$AC14</f>
        <v>3</v>
      </c>
      <c r="HB9">
        <f>Values!$K14</f>
        <v>3</v>
      </c>
      <c r="HC9">
        <f>Values!$G14</f>
        <v>3</v>
      </c>
      <c r="HD9">
        <f>Values!$AA14</f>
        <v>4</v>
      </c>
      <c r="HE9">
        <f>Values!$S14</f>
        <v>2</v>
      </c>
      <c r="HF9">
        <f>Values!$Y14</f>
        <v>4</v>
      </c>
      <c r="HG9">
        <f>Values!$AE14</f>
        <v>3</v>
      </c>
      <c r="HH9">
        <f>Values!$N14</f>
        <v>3</v>
      </c>
      <c r="HI9">
        <f>Values!$I14</f>
        <v>3</v>
      </c>
      <c r="HJ9">
        <f>Values!$M14</f>
        <v>4</v>
      </c>
      <c r="HK9">
        <f>Values!$AB14</f>
        <v>3</v>
      </c>
      <c r="HL9">
        <f>Values!$Q14</f>
        <v>3</v>
      </c>
      <c r="HM9">
        <f>Values!$T14</f>
        <v>3</v>
      </c>
      <c r="HN9">
        <f>Values!$W14</f>
        <v>3</v>
      </c>
      <c r="HO9">
        <f>Values!$H14</f>
        <v>3</v>
      </c>
      <c r="HP9">
        <f>Values!$L14</f>
        <v>4</v>
      </c>
      <c r="HQ9">
        <f>Values!$O14</f>
        <v>2</v>
      </c>
      <c r="HR9">
        <f>Values!$R14</f>
        <v>3</v>
      </c>
      <c r="HS9">
        <f>Values!$U14</f>
        <v>4</v>
      </c>
      <c r="HT9">
        <f>Values!$Z14</f>
        <v>3</v>
      </c>
      <c r="HU9">
        <f>Values!$AF14</f>
        <v>3</v>
      </c>
      <c r="HV9">
        <f>Values!$AD14</f>
        <v>2</v>
      </c>
      <c r="HW9">
        <f>Values!$J14</f>
        <v>4</v>
      </c>
      <c r="HX9">
        <f>Values!$P14</f>
        <v>2</v>
      </c>
      <c r="HY9">
        <f>Values!$V14</f>
        <v>3</v>
      </c>
      <c r="HZ9">
        <f>Values!$AG14</f>
        <v>4</v>
      </c>
      <c r="IA9">
        <f>Values!$BK14</f>
        <v>4</v>
      </c>
      <c r="IB9">
        <f>Values!$AO14</f>
        <v>4</v>
      </c>
      <c r="IC9">
        <f>Values!$BS14</f>
        <v>4</v>
      </c>
      <c r="ID9">
        <f>Values!$BB14</f>
        <v>4</v>
      </c>
      <c r="IE9">
        <f>Values!$CF14</f>
        <v>4</v>
      </c>
      <c r="IF9">
        <f>Values!$AH14</f>
        <v>4</v>
      </c>
      <c r="IG9">
        <f>Values!$BL14</f>
        <v>4</v>
      </c>
      <c r="IH9">
        <f>Values!$AS14</f>
        <v>4</v>
      </c>
      <c r="II9">
        <f>Values!$BW14</f>
        <v>4</v>
      </c>
      <c r="IJ9">
        <f>Values!$BA14</f>
        <v>4</v>
      </c>
      <c r="IK9">
        <f>Values!$CE14</f>
        <v>4</v>
      </c>
      <c r="IL9">
        <f>Values!$AM14</f>
        <v>4</v>
      </c>
      <c r="IM9">
        <f>Values!$BQ14</f>
        <v>4</v>
      </c>
      <c r="IN9">
        <f>Values!$AV14</f>
        <v>4</v>
      </c>
      <c r="IO9">
        <f>Values!$BZ14</f>
        <v>4</v>
      </c>
      <c r="IP9">
        <f>Values!$BF14</f>
        <v>4</v>
      </c>
      <c r="IQ9">
        <f>Values!$CJ14</f>
        <v>4</v>
      </c>
      <c r="IR9">
        <f>Values!$AJ14</f>
        <v>4</v>
      </c>
      <c r="IS9">
        <f>Values!$BN14</f>
        <v>4</v>
      </c>
      <c r="IT9">
        <f>Values!$AQ14</f>
        <v>4</v>
      </c>
      <c r="IU9">
        <f>Values!$BU14</f>
        <v>4</v>
      </c>
      <c r="IV9">
        <f>Values!$AX14</f>
        <v>4</v>
      </c>
      <c r="IW9">
        <f>Values!$CB14</f>
        <v>4</v>
      </c>
      <c r="IX9">
        <f>Values!$BE14</f>
        <v>4</v>
      </c>
      <c r="IY9">
        <f>Values!$CI14</f>
        <v>4</v>
      </c>
      <c r="IZ9">
        <f>Values!$BI14</f>
        <v>4</v>
      </c>
      <c r="JA9">
        <f>Values!$CM14</f>
        <v>4</v>
      </c>
      <c r="JB9">
        <f>Values!$AI14</f>
        <v>4</v>
      </c>
      <c r="JC9">
        <f>Values!$BM14</f>
        <v>4</v>
      </c>
      <c r="JD9">
        <f>Values!$AP14</f>
        <v>4</v>
      </c>
      <c r="JE9">
        <f>Values!$BT14</f>
        <v>4</v>
      </c>
      <c r="JF9">
        <f>Values!$AW14</f>
        <v>4</v>
      </c>
      <c r="JG9">
        <f>Values!$CA14</f>
        <v>4</v>
      </c>
      <c r="JH9">
        <f>Values!$BD14</f>
        <v>4</v>
      </c>
      <c r="JI9">
        <f>Values!$CH14</f>
        <v>4</v>
      </c>
      <c r="JJ9">
        <f>Values!$BH14</f>
        <v>4</v>
      </c>
      <c r="JK9">
        <f>Values!$CL14</f>
        <v>4</v>
      </c>
      <c r="JL9">
        <f>Values!$AK14</f>
        <v>4</v>
      </c>
      <c r="JM9">
        <f>Values!$BO14</f>
        <v>4</v>
      </c>
      <c r="JN9">
        <f>Values!$AR14</f>
        <v>4</v>
      </c>
      <c r="JO9">
        <f>Values!$BV14</f>
        <v>4</v>
      </c>
      <c r="JP9">
        <f>Values!$AY14</f>
        <v>4</v>
      </c>
      <c r="JQ9">
        <f>Values!$CC14</f>
        <v>4</v>
      </c>
      <c r="JR9">
        <f>Values!$AL14</f>
        <v>4</v>
      </c>
      <c r="JS9">
        <f>Values!$BP14</f>
        <v>4</v>
      </c>
      <c r="JT9">
        <f>Values!$AT14</f>
        <v>4</v>
      </c>
      <c r="JU9">
        <f>Values!$BX14</f>
        <v>4</v>
      </c>
      <c r="JV9">
        <f>Values!$AZ14</f>
        <v>4</v>
      </c>
      <c r="JW9">
        <f>Values!$CD14</f>
        <v>4</v>
      </c>
      <c r="JX9">
        <f>Values!$AU14</f>
        <v>4</v>
      </c>
      <c r="JY9">
        <f>Values!$BY14</f>
        <v>4</v>
      </c>
      <c r="JZ9">
        <f>Values!$AN14</f>
        <v>4</v>
      </c>
      <c r="KA9">
        <f>Values!$BR14</f>
        <v>4</v>
      </c>
      <c r="KB9">
        <f>Values!$BC14</f>
        <v>4</v>
      </c>
      <c r="KC9">
        <f>Values!$CG14</f>
        <v>4</v>
      </c>
      <c r="KD9">
        <f>Values!$BJ14</f>
        <v>4</v>
      </c>
      <c r="KE9">
        <f>Values!$CN14</f>
        <v>4</v>
      </c>
      <c r="KF9">
        <f>Values!$BG14</f>
        <v>4</v>
      </c>
      <c r="KG9">
        <f>Values!$CK14</f>
        <v>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111"/>
  <sheetViews>
    <sheetView workbookViewId="0"/>
  </sheetViews>
  <sheetFormatPr defaultRowHeight="14.25" x14ac:dyDescent="0.45"/>
  <sheetData>
    <row r="1" spans="1:8" x14ac:dyDescent="0.45">
      <c r="A1" t="s">
        <v>778</v>
      </c>
      <c r="B1" t="s">
        <v>779</v>
      </c>
      <c r="C1" t="s">
        <v>780</v>
      </c>
      <c r="D1" t="s">
        <v>781</v>
      </c>
      <c r="E1" t="s">
        <v>782</v>
      </c>
      <c r="F1" t="s">
        <v>783</v>
      </c>
      <c r="G1" t="s">
        <v>784</v>
      </c>
      <c r="H1" t="s">
        <v>785</v>
      </c>
    </row>
    <row r="2" spans="1:8" x14ac:dyDescent="0.45">
      <c r="A2" t="s">
        <v>786</v>
      </c>
      <c r="B2" t="s">
        <v>265</v>
      </c>
      <c r="C2">
        <f>IFERROR(_xlfn.AGGREGATE(1,6,Export!$J$2:$J$500),"")</f>
        <v>3.291666666666667</v>
      </c>
      <c r="D2">
        <f>IFERROR(_xlfn.AGGREGATE(5,6,Export!$J$2:$J$500),"")</f>
        <v>2.3333333333333335</v>
      </c>
      <c r="E2">
        <f>IFERROR(_xlfn.AGGREGATE(4,6,Export!$J$2:$J$500),"")</f>
        <v>5</v>
      </c>
      <c r="F2">
        <f>IFERROR(_xlfn.AGGREGATE(4,6,Export!$J$2:$J$500)-_xlfn.AGGREGATE(5,6,Export!$J$2:$J$500),"")</f>
        <v>2.6666666666666665</v>
      </c>
      <c r="G2">
        <f>COUNT(Export!$J$2:$J$500)</f>
        <v>8</v>
      </c>
      <c r="H2">
        <f>SUMPRODUCT(--ISNA(Export!$J$2:$J$500))</f>
        <v>0</v>
      </c>
    </row>
    <row r="3" spans="1:8" x14ac:dyDescent="0.45">
      <c r="A3" t="s">
        <v>786</v>
      </c>
      <c r="B3" t="s">
        <v>318</v>
      </c>
      <c r="C3">
        <f>IFERROR(_xlfn.AGGREGATE(1,6,Export!$K$2:$K$500),"")</f>
        <v>3.708333333333333</v>
      </c>
      <c r="D3">
        <f>IFERROR(_xlfn.AGGREGATE(5,6,Export!$K$2:$K$500),"")</f>
        <v>2</v>
      </c>
      <c r="E3">
        <f>IFERROR(_xlfn.AGGREGATE(4,6,Export!$K$2:$K$500),"")</f>
        <v>4.666666666666667</v>
      </c>
      <c r="F3">
        <f>IFERROR(_xlfn.AGGREGATE(4,6,Export!$K$2:$K$500)-_xlfn.AGGREGATE(5,6,Export!$K$2:$K$500),"")</f>
        <v>2.666666666666667</v>
      </c>
      <c r="G3">
        <f>COUNT(Export!$K$2:$K$500)</f>
        <v>8</v>
      </c>
      <c r="H3">
        <f>SUMPRODUCT(--ISNA(Export!$K$2:$K$500))</f>
        <v>0</v>
      </c>
    </row>
    <row r="4" spans="1:8" x14ac:dyDescent="0.45">
      <c r="A4" t="s">
        <v>786</v>
      </c>
      <c r="B4" t="s">
        <v>380</v>
      </c>
      <c r="C4">
        <f>IFERROR(_xlfn.AGGREGATE(1,6,Export!$L$2:$L$500),"")</f>
        <v>4</v>
      </c>
      <c r="D4">
        <f>IFERROR(_xlfn.AGGREGATE(5,6,Export!$L$2:$L$500),"")</f>
        <v>2.6666666666666665</v>
      </c>
      <c r="E4">
        <f>IFERROR(_xlfn.AGGREGATE(4,6,Export!$L$2:$L$500),"")</f>
        <v>4.666666666666667</v>
      </c>
      <c r="F4">
        <f>IFERROR(_xlfn.AGGREGATE(4,6,Export!$L$2:$L$500)-_xlfn.AGGREGATE(5,6,Export!$L$2:$L$500),"")</f>
        <v>2.0000000000000004</v>
      </c>
      <c r="G4">
        <f>COUNT(Export!$L$2:$L$500)</f>
        <v>8</v>
      </c>
      <c r="H4">
        <f>SUMPRODUCT(--ISNA(Export!$L$2:$L$500))</f>
        <v>0</v>
      </c>
    </row>
    <row r="5" spans="1:8" x14ac:dyDescent="0.45">
      <c r="A5" t="s">
        <v>787</v>
      </c>
      <c r="B5" t="s">
        <v>265</v>
      </c>
      <c r="C5">
        <f>IFERROR(_xlfn.AGGREGATE(1,6,Export!$M$2:$M$500),"")</f>
        <v>2.708333333333333</v>
      </c>
      <c r="D5">
        <f>IFERROR(_xlfn.AGGREGATE(5,6,Export!$M$2:$M$500),"")</f>
        <v>1.3333333333333333</v>
      </c>
      <c r="E5">
        <f>IFERROR(_xlfn.AGGREGATE(4,6,Export!$M$2:$M$500),"")</f>
        <v>4</v>
      </c>
      <c r="F5">
        <f>IFERROR(_xlfn.AGGREGATE(4,6,Export!$M$2:$M$500)-_xlfn.AGGREGATE(5,6,Export!$M$2:$M$500),"")</f>
        <v>2.666666666666667</v>
      </c>
      <c r="G5">
        <f>COUNT(Export!$M$2:$M$500)</f>
        <v>8</v>
      </c>
      <c r="H5">
        <f>SUMPRODUCT(--ISNA(Export!$M$2:$M$500))</f>
        <v>0</v>
      </c>
    </row>
    <row r="6" spans="1:8" x14ac:dyDescent="0.45">
      <c r="A6" t="s">
        <v>787</v>
      </c>
      <c r="B6" t="s">
        <v>318</v>
      </c>
      <c r="C6">
        <f>IFERROR(_xlfn.AGGREGATE(1,6,Export!$N$2:$N$500),"")</f>
        <v>3.4166666666666665</v>
      </c>
      <c r="D6">
        <f>IFERROR(_xlfn.AGGREGATE(5,6,Export!$N$2:$N$500),"")</f>
        <v>1.3333333333333333</v>
      </c>
      <c r="E6">
        <f>IFERROR(_xlfn.AGGREGATE(4,6,Export!$N$2:$N$500),"")</f>
        <v>4.666666666666667</v>
      </c>
      <c r="F6">
        <f>IFERROR(_xlfn.AGGREGATE(4,6,Export!$N$2:$N$500)-_xlfn.AGGREGATE(5,6,Export!$N$2:$N$500),"")</f>
        <v>3.3333333333333339</v>
      </c>
      <c r="G6">
        <f>COUNT(Export!$N$2:$N$500)</f>
        <v>8</v>
      </c>
      <c r="H6">
        <f>SUMPRODUCT(--ISNA(Export!$N$2:$N$500))</f>
        <v>0</v>
      </c>
    </row>
    <row r="7" spans="1:8" x14ac:dyDescent="0.45">
      <c r="A7" t="s">
        <v>787</v>
      </c>
      <c r="B7" t="s">
        <v>380</v>
      </c>
      <c r="C7">
        <f>IFERROR(_xlfn.AGGREGATE(1,6,Export!$O$2:$O$500),"")</f>
        <v>3.083333333333333</v>
      </c>
      <c r="D7">
        <f>IFERROR(_xlfn.AGGREGATE(5,6,Export!$O$2:$O$500),"")</f>
        <v>2</v>
      </c>
      <c r="E7">
        <f>IFERROR(_xlfn.AGGREGATE(4,6,Export!$O$2:$O$500),"")</f>
        <v>3.6666666666666665</v>
      </c>
      <c r="F7">
        <f>IFERROR(_xlfn.AGGREGATE(4,6,Export!$O$2:$O$500)-_xlfn.AGGREGATE(5,6,Export!$O$2:$O$500),"")</f>
        <v>1.6666666666666665</v>
      </c>
      <c r="G7">
        <f>COUNT(Export!$O$2:$O$500)</f>
        <v>8</v>
      </c>
      <c r="H7">
        <f>SUMPRODUCT(--ISNA(Export!$O$2:$O$500))</f>
        <v>0</v>
      </c>
    </row>
    <row r="8" spans="1:8" x14ac:dyDescent="0.45">
      <c r="A8" t="s">
        <v>788</v>
      </c>
      <c r="B8" t="s">
        <v>265</v>
      </c>
      <c r="C8">
        <f>IFERROR(_xlfn.AGGREGATE(1,6,Export!$P$2:$P$500),"")</f>
        <v>3.2083333333333335</v>
      </c>
      <c r="D8">
        <f>IFERROR(_xlfn.AGGREGATE(5,6,Export!$P$2:$P$500),"")</f>
        <v>2</v>
      </c>
      <c r="E8">
        <f>IFERROR(_xlfn.AGGREGATE(4,6,Export!$P$2:$P$500),"")</f>
        <v>4.666666666666667</v>
      </c>
      <c r="F8">
        <f>IFERROR(_xlfn.AGGREGATE(4,6,Export!$P$2:$P$500)-_xlfn.AGGREGATE(5,6,Export!$P$2:$P$500),"")</f>
        <v>2.666666666666667</v>
      </c>
      <c r="G8">
        <f>COUNT(Export!$P$2:$P$500)</f>
        <v>8</v>
      </c>
      <c r="H8">
        <f>SUMPRODUCT(--ISNA(Export!$P$2:$P$500))</f>
        <v>0</v>
      </c>
    </row>
    <row r="9" spans="1:8" x14ac:dyDescent="0.45">
      <c r="A9" t="s">
        <v>788</v>
      </c>
      <c r="B9" t="s">
        <v>318</v>
      </c>
      <c r="C9">
        <f>IFERROR(_xlfn.AGGREGATE(1,6,Export!$Q$2:$Q$500),"")</f>
        <v>3.9999999999999996</v>
      </c>
      <c r="D9">
        <f>IFERROR(_xlfn.AGGREGATE(5,6,Export!$Q$2:$Q$500),"")</f>
        <v>3.3333333333333335</v>
      </c>
      <c r="E9">
        <f>IFERROR(_xlfn.AGGREGATE(4,6,Export!$Q$2:$Q$500),"")</f>
        <v>4.666666666666667</v>
      </c>
      <c r="F9">
        <f>IFERROR(_xlfn.AGGREGATE(4,6,Export!$Q$2:$Q$500)-_xlfn.AGGREGATE(5,6,Export!$Q$2:$Q$500),"")</f>
        <v>1.3333333333333335</v>
      </c>
      <c r="G9">
        <f>COUNT(Export!$Q$2:$Q$500)</f>
        <v>8</v>
      </c>
      <c r="H9">
        <f>SUMPRODUCT(--ISNA(Export!$Q$2:$Q$500))</f>
        <v>0</v>
      </c>
    </row>
    <row r="10" spans="1:8" x14ac:dyDescent="0.45">
      <c r="A10" t="s">
        <v>788</v>
      </c>
      <c r="B10" t="s">
        <v>380</v>
      </c>
      <c r="C10">
        <f>IFERROR(_xlfn.AGGREGATE(1,6,Export!$R$2:$R$500),"")</f>
        <v>3.9166666666666665</v>
      </c>
      <c r="D10">
        <f>IFERROR(_xlfn.AGGREGATE(5,6,Export!$R$2:$R$500),"")</f>
        <v>3.3333333333333335</v>
      </c>
      <c r="E10">
        <f>IFERROR(_xlfn.AGGREGATE(4,6,Export!$R$2:$R$500),"")</f>
        <v>4.333333333333333</v>
      </c>
      <c r="F10">
        <f>IFERROR(_xlfn.AGGREGATE(4,6,Export!$R$2:$R$500)-_xlfn.AGGREGATE(5,6,Export!$R$2:$R$500),"")</f>
        <v>0.99999999999999956</v>
      </c>
      <c r="G10">
        <f>COUNT(Export!$R$2:$R$500)</f>
        <v>8</v>
      </c>
      <c r="H10">
        <f>SUMPRODUCT(--ISNA(Export!$R$2:$R$500))</f>
        <v>0</v>
      </c>
    </row>
    <row r="11" spans="1:8" x14ac:dyDescent="0.45">
      <c r="A11" t="s">
        <v>789</v>
      </c>
      <c r="B11" t="s">
        <v>265</v>
      </c>
      <c r="C11">
        <f>IFERROR(_xlfn.AGGREGATE(1,6,Export!$S$2:$S$500),"")</f>
        <v>3.0750000000000002</v>
      </c>
      <c r="D11">
        <f>IFERROR(_xlfn.AGGREGATE(5,6,Export!$S$2:$S$500),"")</f>
        <v>1.8</v>
      </c>
      <c r="E11">
        <f>IFERROR(_xlfn.AGGREGATE(4,6,Export!$S$2:$S$500),"")</f>
        <v>4.2</v>
      </c>
      <c r="F11">
        <f>IFERROR(_xlfn.AGGREGATE(4,6,Export!$S$2:$S$500)-_xlfn.AGGREGATE(5,6,Export!$S$2:$S$500),"")</f>
        <v>2.4000000000000004</v>
      </c>
      <c r="G11">
        <f>COUNT(Export!$S$2:$S$500)</f>
        <v>8</v>
      </c>
      <c r="H11">
        <f>SUMPRODUCT(--ISNA(Export!$S$2:$S$500))</f>
        <v>0</v>
      </c>
    </row>
    <row r="12" spans="1:8" x14ac:dyDescent="0.45">
      <c r="A12" t="s">
        <v>789</v>
      </c>
      <c r="B12" t="s">
        <v>318</v>
      </c>
      <c r="C12">
        <f>IFERROR(_xlfn.AGGREGATE(1,6,Export!$T$2:$T$500),"")</f>
        <v>3.15</v>
      </c>
      <c r="D12">
        <f>IFERROR(_xlfn.AGGREGATE(5,6,Export!$T$2:$T$500),"")</f>
        <v>1.6</v>
      </c>
      <c r="E12">
        <f>IFERROR(_xlfn.AGGREGATE(4,6,Export!$T$2:$T$500),"")</f>
        <v>4.5999999999999996</v>
      </c>
      <c r="F12">
        <f>IFERROR(_xlfn.AGGREGATE(4,6,Export!$T$2:$T$500)-_xlfn.AGGREGATE(5,6,Export!$T$2:$T$500),"")</f>
        <v>2.9999999999999996</v>
      </c>
      <c r="G12">
        <f>COUNT(Export!$T$2:$T$500)</f>
        <v>8</v>
      </c>
      <c r="H12">
        <f>SUMPRODUCT(--ISNA(Export!$T$2:$T$500))</f>
        <v>0</v>
      </c>
    </row>
    <row r="13" spans="1:8" x14ac:dyDescent="0.45">
      <c r="A13" t="s">
        <v>789</v>
      </c>
      <c r="B13" t="s">
        <v>380</v>
      </c>
      <c r="C13">
        <f>IFERROR(_xlfn.AGGREGATE(1,6,Export!$U$2:$U$500),"")</f>
        <v>3.375</v>
      </c>
      <c r="D13">
        <f>IFERROR(_xlfn.AGGREGATE(5,6,Export!$U$2:$U$500),"")</f>
        <v>2.4</v>
      </c>
      <c r="E13">
        <f>IFERROR(_xlfn.AGGREGATE(4,6,Export!$U$2:$U$500),"")</f>
        <v>4.5999999999999996</v>
      </c>
      <c r="F13">
        <f>IFERROR(_xlfn.AGGREGATE(4,6,Export!$U$2:$U$500)-_xlfn.AGGREGATE(5,6,Export!$U$2:$U$500),"")</f>
        <v>2.1999999999999997</v>
      </c>
      <c r="G13">
        <f>COUNT(Export!$U$2:$U$500)</f>
        <v>8</v>
      </c>
      <c r="H13">
        <f>SUMPRODUCT(--ISNA(Export!$U$2:$U$500))</f>
        <v>0</v>
      </c>
    </row>
    <row r="14" spans="1:8" x14ac:dyDescent="0.45">
      <c r="A14" t="s">
        <v>790</v>
      </c>
      <c r="B14" t="s">
        <v>265</v>
      </c>
      <c r="C14">
        <f>IFERROR(_xlfn.AGGREGATE(1,6,Export!$V$2:$V$500),"")</f>
        <v>2.9714285714285715</v>
      </c>
      <c r="D14">
        <f>IFERROR(_xlfn.AGGREGATE(5,6,Export!$V$2:$V$500),"")</f>
        <v>1</v>
      </c>
      <c r="E14">
        <f>IFERROR(_xlfn.AGGREGATE(4,6,Export!$V$2:$V$500),"")</f>
        <v>4.4000000000000004</v>
      </c>
      <c r="F14">
        <f>IFERROR(_xlfn.AGGREGATE(4,6,Export!$V$2:$V$500)-_xlfn.AGGREGATE(5,6,Export!$V$2:$V$500),"")</f>
        <v>3.4000000000000004</v>
      </c>
      <c r="G14">
        <f>COUNT(Export!$V$2:$V$500)</f>
        <v>7</v>
      </c>
      <c r="H14">
        <f>SUMPRODUCT(--ISNA(Export!$V$2:$V$500))</f>
        <v>1</v>
      </c>
    </row>
    <row r="15" spans="1:8" x14ac:dyDescent="0.45">
      <c r="A15" t="s">
        <v>790</v>
      </c>
      <c r="B15" t="s">
        <v>318</v>
      </c>
      <c r="C15">
        <f>IFERROR(_xlfn.AGGREGATE(1,6,Export!$W$2:$W$500),"")</f>
        <v>3.1</v>
      </c>
      <c r="D15">
        <f>IFERROR(_xlfn.AGGREGATE(5,6,Export!$W$2:$W$500),"")</f>
        <v>2</v>
      </c>
      <c r="E15">
        <f>IFERROR(_xlfn.AGGREGATE(4,6,Export!$W$2:$W$500),"")</f>
        <v>4.5999999999999996</v>
      </c>
      <c r="F15">
        <f>IFERROR(_xlfn.AGGREGATE(4,6,Export!$W$2:$W$500)-_xlfn.AGGREGATE(5,6,Export!$W$2:$W$500),"")</f>
        <v>2.5999999999999996</v>
      </c>
      <c r="G15">
        <f>COUNT(Export!$W$2:$W$500)</f>
        <v>8</v>
      </c>
      <c r="H15">
        <f>SUMPRODUCT(--ISNA(Export!$W$2:$W$500))</f>
        <v>0</v>
      </c>
    </row>
    <row r="16" spans="1:8" x14ac:dyDescent="0.45">
      <c r="A16" t="s">
        <v>790</v>
      </c>
      <c r="B16" t="s">
        <v>380</v>
      </c>
      <c r="C16">
        <f>IFERROR(_xlfn.AGGREGATE(1,6,Export!$X$2:$X$500),"")</f>
        <v>3.2250000000000001</v>
      </c>
      <c r="D16">
        <f>IFERROR(_xlfn.AGGREGATE(5,6,Export!$X$2:$X$500),"")</f>
        <v>2.4</v>
      </c>
      <c r="E16">
        <f>IFERROR(_xlfn.AGGREGATE(4,6,Export!$X$2:$X$500),"")</f>
        <v>4.2</v>
      </c>
      <c r="F16">
        <f>IFERROR(_xlfn.AGGREGATE(4,6,Export!$X$2:$X$500)-_xlfn.AGGREGATE(5,6,Export!$X$2:$X$500),"")</f>
        <v>1.8000000000000003</v>
      </c>
      <c r="G16">
        <f>COUNT(Export!$X$2:$X$500)</f>
        <v>8</v>
      </c>
      <c r="H16">
        <f>SUMPRODUCT(--ISNA(Export!$X$2:$X$500))</f>
        <v>0</v>
      </c>
    </row>
    <row r="17" spans="1:8" x14ac:dyDescent="0.45">
      <c r="A17" t="s">
        <v>791</v>
      </c>
      <c r="B17" t="s">
        <v>265</v>
      </c>
      <c r="C17">
        <f>IFERROR(_xlfn.AGGREGATE(1,6,Export!$Y$2:$Y$500),"")</f>
        <v>2.75</v>
      </c>
      <c r="D17">
        <f>IFERROR(_xlfn.AGGREGATE(5,6,Export!$Y$2:$Y$500),"")</f>
        <v>1.3333333333333333</v>
      </c>
      <c r="E17">
        <f>IFERROR(_xlfn.AGGREGATE(4,6,Export!$Y$2:$Y$500),"")</f>
        <v>4</v>
      </c>
      <c r="F17">
        <f>IFERROR(_xlfn.AGGREGATE(4,6,Export!$Y$2:$Y$500)-_xlfn.AGGREGATE(5,6,Export!$Y$2:$Y$500),"")</f>
        <v>2.666666666666667</v>
      </c>
      <c r="G17">
        <f>COUNT(Export!$Y$2:$Y$500)</f>
        <v>8</v>
      </c>
      <c r="H17">
        <f>SUMPRODUCT(--ISNA(Export!$Y$2:$Y$500))</f>
        <v>0</v>
      </c>
    </row>
    <row r="18" spans="1:8" x14ac:dyDescent="0.45">
      <c r="A18" t="s">
        <v>791</v>
      </c>
      <c r="B18" t="s">
        <v>318</v>
      </c>
      <c r="C18">
        <f>IFERROR(_xlfn.AGGREGATE(1,6,Export!$Z$2:$Z$500),"")</f>
        <v>3.4166666666666665</v>
      </c>
      <c r="D18">
        <f>IFERROR(_xlfn.AGGREGATE(5,6,Export!$Z$2:$Z$500),"")</f>
        <v>1.6666666666666667</v>
      </c>
      <c r="E18">
        <f>IFERROR(_xlfn.AGGREGATE(4,6,Export!$Z$2:$Z$500),"")</f>
        <v>5</v>
      </c>
      <c r="F18">
        <f>IFERROR(_xlfn.AGGREGATE(4,6,Export!$Z$2:$Z$500)-_xlfn.AGGREGATE(5,6,Export!$Z$2:$Z$500),"")</f>
        <v>3.333333333333333</v>
      </c>
      <c r="G18">
        <f>COUNT(Export!$Z$2:$Z$500)</f>
        <v>8</v>
      </c>
      <c r="H18">
        <f>SUMPRODUCT(--ISNA(Export!$Z$2:$Z$500))</f>
        <v>0</v>
      </c>
    </row>
    <row r="19" spans="1:8" x14ac:dyDescent="0.45">
      <c r="A19" t="s">
        <v>791</v>
      </c>
      <c r="B19" t="s">
        <v>380</v>
      </c>
      <c r="C19">
        <f>IFERROR(_xlfn.AGGREGATE(1,6,Export!$AA$2:$AA$500),"")</f>
        <v>3.25</v>
      </c>
      <c r="D19">
        <f>IFERROR(_xlfn.AGGREGATE(5,6,Export!$AA$2:$AA$500),"")</f>
        <v>2.3333333333333335</v>
      </c>
      <c r="E19">
        <f>IFERROR(_xlfn.AGGREGATE(4,6,Export!$AA$2:$AA$500),"")</f>
        <v>4</v>
      </c>
      <c r="F19">
        <f>IFERROR(_xlfn.AGGREGATE(4,6,Export!$AA$2:$AA$500)-_xlfn.AGGREGATE(5,6,Export!$AA$2:$AA$500),"")</f>
        <v>1.6666666666666665</v>
      </c>
      <c r="G19">
        <f>COUNT(Export!$AA$2:$AA$500)</f>
        <v>8</v>
      </c>
      <c r="H19">
        <f>SUMPRODUCT(--ISNA(Export!$AA$2:$AA$500))</f>
        <v>0</v>
      </c>
    </row>
    <row r="20" spans="1:8" x14ac:dyDescent="0.45">
      <c r="A20" t="s">
        <v>792</v>
      </c>
      <c r="B20" t="s">
        <v>265</v>
      </c>
      <c r="C20">
        <f>IFERROR(_xlfn.AGGREGATE(1,6,Export!$AB$2:$AB$500),"")</f>
        <v>3.7916666666666665</v>
      </c>
      <c r="D20">
        <f>IFERROR(_xlfn.AGGREGATE(5,6,Export!$AB$2:$AB$500),"")</f>
        <v>3</v>
      </c>
      <c r="E20">
        <f>IFERROR(_xlfn.AGGREGATE(4,6,Export!$AB$2:$AB$500),"")</f>
        <v>5</v>
      </c>
      <c r="F20">
        <f>IFERROR(_xlfn.AGGREGATE(4,6,Export!$AB$2:$AB$500)-_xlfn.AGGREGATE(5,6,Export!$AB$2:$AB$500),"")</f>
        <v>2</v>
      </c>
      <c r="G20">
        <f>COUNT(Export!$AB$2:$AB$500)</f>
        <v>8</v>
      </c>
      <c r="H20">
        <f>SUMPRODUCT(--ISNA(Export!$AB$2:$AB$500))</f>
        <v>0</v>
      </c>
    </row>
    <row r="21" spans="1:8" x14ac:dyDescent="0.45">
      <c r="A21" t="s">
        <v>792</v>
      </c>
      <c r="B21" t="s">
        <v>318</v>
      </c>
      <c r="C21">
        <f>IFERROR(_xlfn.AGGREGATE(1,6,Export!$AC$2:$AC$500),"")</f>
        <v>3.5833333333333335</v>
      </c>
      <c r="D21">
        <f>IFERROR(_xlfn.AGGREGATE(5,6,Export!$AC$2:$AC$500),"")</f>
        <v>3</v>
      </c>
      <c r="E21">
        <f>IFERROR(_xlfn.AGGREGATE(4,6,Export!$AC$2:$AC$500),"")</f>
        <v>4.666666666666667</v>
      </c>
      <c r="F21">
        <f>IFERROR(_xlfn.AGGREGATE(4,6,Export!$AC$2:$AC$500)-_xlfn.AGGREGATE(5,6,Export!$AC$2:$AC$500),"")</f>
        <v>1.666666666666667</v>
      </c>
      <c r="G21">
        <f>COUNT(Export!$AC$2:$AC$500)</f>
        <v>8</v>
      </c>
      <c r="H21">
        <f>SUMPRODUCT(--ISNA(Export!$AC$2:$AC$500))</f>
        <v>0</v>
      </c>
    </row>
    <row r="22" spans="1:8" x14ac:dyDescent="0.45">
      <c r="A22" t="s">
        <v>792</v>
      </c>
      <c r="B22" t="s">
        <v>380</v>
      </c>
      <c r="C22">
        <f>IFERROR(_xlfn.AGGREGATE(1,6,Export!$AD$2:$AD$500),"")</f>
        <v>3.833333333333333</v>
      </c>
      <c r="D22">
        <f>IFERROR(_xlfn.AGGREGATE(5,6,Export!$AD$2:$AD$500),"")</f>
        <v>3.3333333333333335</v>
      </c>
      <c r="E22">
        <f>IFERROR(_xlfn.AGGREGATE(4,6,Export!$AD$2:$AD$500),"")</f>
        <v>4.666666666666667</v>
      </c>
      <c r="F22">
        <f>IFERROR(_xlfn.AGGREGATE(4,6,Export!$AD$2:$AD$500)-_xlfn.AGGREGATE(5,6,Export!$AD$2:$AD$500),"")</f>
        <v>1.3333333333333335</v>
      </c>
      <c r="G22">
        <f>COUNT(Export!$AD$2:$AD$500)</f>
        <v>8</v>
      </c>
      <c r="H22">
        <f>SUMPRODUCT(--ISNA(Export!$AD$2:$AD$500))</f>
        <v>0</v>
      </c>
    </row>
    <row r="24" spans="1:8" x14ac:dyDescent="0.45">
      <c r="A24" t="s">
        <v>778</v>
      </c>
      <c r="B24" t="s">
        <v>793</v>
      </c>
      <c r="C24" t="s">
        <v>794</v>
      </c>
      <c r="D24" t="s">
        <v>795</v>
      </c>
    </row>
    <row r="25" spans="1:8" x14ac:dyDescent="0.45">
      <c r="A25" t="s">
        <v>786</v>
      </c>
      <c r="B25">
        <f>IFERROR(_xlfn.AGGREGATE(1,6,Export!$AE$2:$AE$500),"")</f>
        <v>0.41666666666666663</v>
      </c>
      <c r="C25">
        <f>IFERROR(_xlfn.AGGREGATE(1,6,Export!$L$2:$L$500)-_xlfn.AGGREGATE(1,6,Export!$J$2:$J$500),"")</f>
        <v>0.70833333333333304</v>
      </c>
      <c r="D25">
        <f>IFERROR(_xlfn.AGGREGATE(1,6,Export!$AF$2:$AF$500),"")</f>
        <v>0.29166666666666669</v>
      </c>
    </row>
    <row r="26" spans="1:8" x14ac:dyDescent="0.45">
      <c r="A26" t="s">
        <v>787</v>
      </c>
      <c r="B26">
        <f>IFERROR(_xlfn.AGGREGATE(1,6,Export!$AG$2:$AG$500),"")</f>
        <v>0.70833333333333326</v>
      </c>
      <c r="C26">
        <f>IFERROR(_xlfn.AGGREGATE(1,6,Export!$O$2:$O$500)-_xlfn.AGGREGATE(1,6,Export!$M$2:$M$500),"")</f>
        <v>0.375</v>
      </c>
      <c r="D26">
        <f>IFERROR(_xlfn.AGGREGATE(1,6,Export!$AH$2:$AH$500),"")</f>
        <v>-0.33333333333333331</v>
      </c>
    </row>
    <row r="27" spans="1:8" x14ac:dyDescent="0.45">
      <c r="A27" t="s">
        <v>788</v>
      </c>
      <c r="B27">
        <f>IFERROR(_xlfn.AGGREGATE(1,6,Export!$AI$2:$AI$500),"")</f>
        <v>0.79166666666666652</v>
      </c>
      <c r="C27">
        <f>IFERROR(_xlfn.AGGREGATE(1,6,Export!$R$2:$R$500)-_xlfn.AGGREGATE(1,6,Export!$P$2:$P$500),"")</f>
        <v>0.70833333333333304</v>
      </c>
      <c r="D27">
        <f>IFERROR(_xlfn.AGGREGATE(1,6,Export!$AJ$2:$AJ$500),"")</f>
        <v>-8.3333333333333315E-2</v>
      </c>
    </row>
    <row r="28" spans="1:8" x14ac:dyDescent="0.45">
      <c r="A28" t="s">
        <v>789</v>
      </c>
      <c r="B28">
        <f>IFERROR(_xlfn.AGGREGATE(1,6,Export!$AK$2:$AK$500),"")</f>
        <v>7.4999999999999983E-2</v>
      </c>
      <c r="C28">
        <f>IFERROR(_xlfn.AGGREGATE(1,6,Export!$U$2:$U$500)-_xlfn.AGGREGATE(1,6,Export!$S$2:$S$500),"")</f>
        <v>0.29999999999999982</v>
      </c>
      <c r="D28">
        <f>IFERROR(_xlfn.AGGREGATE(1,6,Export!$AL$2:$AL$500),"")</f>
        <v>0.22500000000000003</v>
      </c>
    </row>
    <row r="29" spans="1:8" x14ac:dyDescent="0.45">
      <c r="A29" t="s">
        <v>790</v>
      </c>
      <c r="B29">
        <f>IFERROR(_xlfn.AGGREGATE(1,6,Export!$AM$2:$AM$500),"")</f>
        <v>0.14285714285714274</v>
      </c>
      <c r="C29">
        <f>IFERROR(_xlfn.AGGREGATE(1,6,Export!$X$2:$X$500)-_xlfn.AGGREGATE(1,6,Export!$V$2:$V$500),"")</f>
        <v>0.25357142857142856</v>
      </c>
      <c r="D29">
        <f>IFERROR(_xlfn.AGGREGATE(1,6,Export!$AN$2:$AN$500),"")</f>
        <v>0.12500000000000006</v>
      </c>
    </row>
    <row r="30" spans="1:8" x14ac:dyDescent="0.45">
      <c r="A30" t="s">
        <v>791</v>
      </c>
      <c r="B30">
        <f>IFERROR(_xlfn.AGGREGATE(1,6,Export!$AO$2:$AO$500),"")</f>
        <v>0.66666666666666685</v>
      </c>
      <c r="C30">
        <f>IFERROR(_xlfn.AGGREGATE(1,6,Export!$AA$2:$AA$500)-_xlfn.AGGREGATE(1,6,Export!$Y$2:$Y$500),"")</f>
        <v>0.5</v>
      </c>
      <c r="D30">
        <f>IFERROR(_xlfn.AGGREGATE(1,6,Export!$AP$2:$AP$500),"")</f>
        <v>-0.16666666666666669</v>
      </c>
    </row>
    <row r="31" spans="1:8" x14ac:dyDescent="0.45">
      <c r="A31" t="s">
        <v>792</v>
      </c>
      <c r="B31">
        <f>IFERROR(_xlfn.AGGREGATE(1,6,Export!$AQ$2:$AQ$500),"")</f>
        <v>-0.20833333333333326</v>
      </c>
      <c r="C31">
        <f>IFERROR(_xlfn.AGGREGATE(1,6,Export!$AD$2:$AD$500)-_xlfn.AGGREGATE(1,6,Export!$AB$2:$AB$500),"")</f>
        <v>4.1666666666666519E-2</v>
      </c>
      <c r="D31">
        <f>IFERROR(_xlfn.AGGREGATE(1,6,Export!$AR$2:$AR$500),"")</f>
        <v>0.24999999999999994</v>
      </c>
    </row>
    <row r="33" spans="1:11" x14ac:dyDescent="0.45">
      <c r="A33" t="s">
        <v>796</v>
      </c>
      <c r="B33" t="s">
        <v>779</v>
      </c>
      <c r="C33" t="s">
        <v>797</v>
      </c>
      <c r="D33" t="s">
        <v>798</v>
      </c>
      <c r="E33" t="s">
        <v>799</v>
      </c>
      <c r="F33" t="s">
        <v>800</v>
      </c>
      <c r="G33" t="s">
        <v>801</v>
      </c>
      <c r="H33" t="s">
        <v>802</v>
      </c>
      <c r="I33" t="s">
        <v>803</v>
      </c>
      <c r="J33" t="s">
        <v>784</v>
      </c>
      <c r="K33" t="s">
        <v>804</v>
      </c>
    </row>
    <row r="34" spans="1:11" x14ac:dyDescent="0.45">
      <c r="A34" t="s">
        <v>805</v>
      </c>
      <c r="B34" t="s">
        <v>265</v>
      </c>
      <c r="C34">
        <f>COUNTIF(Export!$AS$2:$AS$500,1)</f>
        <v>0</v>
      </c>
      <c r="D34">
        <f>COUNTIF(Export!$AS$2:$AS$500,2)</f>
        <v>2</v>
      </c>
      <c r="E34">
        <f>COUNTIF(Export!$AS$2:$AS$500,3)</f>
        <v>2</v>
      </c>
      <c r="F34">
        <f>COUNTIF(Export!$AS$2:$AS$500,4)</f>
        <v>2</v>
      </c>
      <c r="G34">
        <f>COUNTIF(Export!$AS$2:$AS$500,5)</f>
        <v>1</v>
      </c>
      <c r="H34">
        <f>COUNTIF(Export!$AS$2:$AS$500,6)</f>
        <v>0</v>
      </c>
      <c r="I34">
        <f>COUNTIF(Export!$AS$2:$AS$500,"NA")</f>
        <v>1</v>
      </c>
      <c r="J34">
        <f>COUNT(Export!$AS$2:$AS$500)</f>
        <v>7</v>
      </c>
      <c r="K34">
        <f>IF(COUNT(Export!$AS$2:$AS$500)=0,"",SMALL(Export!$AS$2:$AS$500,INT((COUNT(Export!$AS$2:$AS$500)+1)/2)))</f>
        <v>3</v>
      </c>
    </row>
    <row r="35" spans="1:11" x14ac:dyDescent="0.45">
      <c r="A35" t="s">
        <v>805</v>
      </c>
      <c r="B35" t="s">
        <v>318</v>
      </c>
      <c r="C35">
        <f>COUNTIF(Export!$AT$2:$AT$500,1)</f>
        <v>0</v>
      </c>
      <c r="D35">
        <f>COUNTIF(Export!$AT$2:$AT$500,2)</f>
        <v>1</v>
      </c>
      <c r="E35">
        <f>COUNTIF(Export!$AT$2:$AT$500,3)</f>
        <v>1</v>
      </c>
      <c r="F35">
        <f>COUNTIF(Export!$AT$2:$AT$500,4)</f>
        <v>1</v>
      </c>
      <c r="G35">
        <f>COUNTIF(Export!$AT$2:$AT$500,5)</f>
        <v>1</v>
      </c>
      <c r="H35">
        <f>COUNTIF(Export!$AT$2:$AT$500,6)</f>
        <v>3</v>
      </c>
      <c r="I35">
        <f>COUNTIF(Export!$AT$2:$AT$500,"NA")</f>
        <v>1</v>
      </c>
      <c r="J35">
        <f>COUNT(Export!$AT$2:$AT$500)</f>
        <v>7</v>
      </c>
      <c r="K35">
        <f>IF(COUNT(Export!$AT$2:$AT$500)=0,"",SMALL(Export!$AT$2:$AT$500,INT((COUNT(Export!$AT$2:$AT$500)+1)/2)))</f>
        <v>5</v>
      </c>
    </row>
    <row r="36" spans="1:11" x14ac:dyDescent="0.45">
      <c r="A36" t="s">
        <v>805</v>
      </c>
      <c r="B36" t="s">
        <v>380</v>
      </c>
      <c r="C36">
        <f>COUNTIF(Export!$AU$2:$AU$500,1)</f>
        <v>0</v>
      </c>
      <c r="D36">
        <f>COUNTIF(Export!$AU$2:$AU$500,2)</f>
        <v>1</v>
      </c>
      <c r="E36">
        <f>COUNTIF(Export!$AU$2:$AU$500,3)</f>
        <v>1</v>
      </c>
      <c r="F36">
        <f>COUNTIF(Export!$AU$2:$AU$500,4)</f>
        <v>3</v>
      </c>
      <c r="G36">
        <f>COUNTIF(Export!$AU$2:$AU$500,5)</f>
        <v>1</v>
      </c>
      <c r="H36">
        <f>COUNTIF(Export!$AU$2:$AU$500,6)</f>
        <v>1</v>
      </c>
      <c r="I36">
        <f>COUNTIF(Export!$AU$2:$AU$500,"NA")</f>
        <v>1</v>
      </c>
      <c r="J36">
        <f>COUNT(Export!$AU$2:$AU$500)</f>
        <v>7</v>
      </c>
      <c r="K36">
        <f>IF(COUNT(Export!$AU$2:$AU$500)=0,"",SMALL(Export!$AU$2:$AU$500,INT((COUNT(Export!$AU$2:$AU$500)+1)/2)))</f>
        <v>4</v>
      </c>
    </row>
    <row r="37" spans="1:11" x14ac:dyDescent="0.45">
      <c r="A37" t="s">
        <v>806</v>
      </c>
      <c r="B37" t="s">
        <v>265</v>
      </c>
      <c r="C37">
        <f>COUNTIF(Export!$AV$2:$AV$500,1)</f>
        <v>2</v>
      </c>
      <c r="D37">
        <f>COUNTIF(Export!$AV$2:$AV$500,2)</f>
        <v>0</v>
      </c>
      <c r="E37">
        <f>COUNTIF(Export!$AV$2:$AV$500,3)</f>
        <v>4</v>
      </c>
      <c r="F37">
        <f>COUNTIF(Export!$AV$2:$AV$500,4)</f>
        <v>1</v>
      </c>
      <c r="G37">
        <f>COUNTIF(Export!$AV$2:$AV$500,5)</f>
        <v>1</v>
      </c>
      <c r="H37">
        <f>COUNTIF(Export!$AV$2:$AV$500,6)</f>
        <v>0</v>
      </c>
      <c r="I37">
        <f>COUNTIF(Export!$AV$2:$AV$500,"NA")</f>
        <v>0</v>
      </c>
      <c r="J37">
        <f>COUNT(Export!$AV$2:$AV$500)</f>
        <v>8</v>
      </c>
      <c r="K37">
        <f>IF(COUNT(Export!$AV$2:$AV$500)=0,"",SMALL(Export!$AV$2:$AV$500,INT((COUNT(Export!$AV$2:$AV$500)+1)/2)))</f>
        <v>3</v>
      </c>
    </row>
    <row r="38" spans="1:11" x14ac:dyDescent="0.45">
      <c r="A38" t="s">
        <v>806</v>
      </c>
      <c r="B38" t="s">
        <v>318</v>
      </c>
      <c r="C38">
        <f>COUNTIF(Export!$AW$2:$AW$500,1)</f>
        <v>1</v>
      </c>
      <c r="D38">
        <f>COUNTIF(Export!$AW$2:$AW$500,2)</f>
        <v>1</v>
      </c>
      <c r="E38">
        <f>COUNTIF(Export!$AW$2:$AW$500,3)</f>
        <v>1</v>
      </c>
      <c r="F38">
        <f>COUNTIF(Export!$AW$2:$AW$500,4)</f>
        <v>1</v>
      </c>
      <c r="G38">
        <f>COUNTIF(Export!$AW$2:$AW$500,5)</f>
        <v>3</v>
      </c>
      <c r="H38">
        <f>COUNTIF(Export!$AW$2:$AW$500,6)</f>
        <v>1</v>
      </c>
      <c r="I38">
        <f>COUNTIF(Export!$AW$2:$AW$500,"NA")</f>
        <v>0</v>
      </c>
      <c r="J38">
        <f>COUNT(Export!$AW$2:$AW$500)</f>
        <v>8</v>
      </c>
      <c r="K38">
        <f>IF(COUNT(Export!$AW$2:$AW$500)=0,"",SMALL(Export!$AW$2:$AW$500,INT((COUNT(Export!$AW$2:$AW$500)+1)/2)))</f>
        <v>4</v>
      </c>
    </row>
    <row r="39" spans="1:11" x14ac:dyDescent="0.45">
      <c r="A39" t="s">
        <v>806</v>
      </c>
      <c r="B39" t="s">
        <v>380</v>
      </c>
      <c r="C39">
        <f>COUNTIF(Export!$AX$2:$AX$500,1)</f>
        <v>1</v>
      </c>
      <c r="D39">
        <f>COUNTIF(Export!$AX$2:$AX$500,2)</f>
        <v>0</v>
      </c>
      <c r="E39">
        <f>COUNTIF(Export!$AX$2:$AX$500,3)</f>
        <v>2</v>
      </c>
      <c r="F39">
        <f>COUNTIF(Export!$AX$2:$AX$500,4)</f>
        <v>4</v>
      </c>
      <c r="G39">
        <f>COUNTIF(Export!$AX$2:$AX$500,5)</f>
        <v>0</v>
      </c>
      <c r="H39">
        <f>COUNTIF(Export!$AX$2:$AX$500,6)</f>
        <v>1</v>
      </c>
      <c r="I39">
        <f>COUNTIF(Export!$AX$2:$AX$500,"NA")</f>
        <v>0</v>
      </c>
      <c r="J39">
        <f>COUNT(Export!$AX$2:$AX$500)</f>
        <v>8</v>
      </c>
      <c r="K39">
        <f>IF(COUNT(Export!$AX$2:$AX$500)=0,"",SMALL(Export!$AX$2:$AX$500,INT((COUNT(Export!$AX$2:$AX$500)+1)/2)))</f>
        <v>4</v>
      </c>
    </row>
    <row r="40" spans="1:11" x14ac:dyDescent="0.45">
      <c r="A40" t="s">
        <v>807</v>
      </c>
      <c r="B40" t="s">
        <v>265</v>
      </c>
      <c r="C40">
        <f>COUNTIF(Export!$AY$2:$AY$500,1)</f>
        <v>1</v>
      </c>
      <c r="D40">
        <f>COUNTIF(Export!$AY$2:$AY$500,2)</f>
        <v>1</v>
      </c>
      <c r="E40">
        <f>COUNTIF(Export!$AY$2:$AY$500,3)</f>
        <v>3</v>
      </c>
      <c r="F40">
        <f>COUNTIF(Export!$AY$2:$AY$500,4)</f>
        <v>3</v>
      </c>
      <c r="G40">
        <f>COUNTIF(Export!$AY$2:$AY$500,5)</f>
        <v>0</v>
      </c>
      <c r="H40">
        <f>COUNTIF(Export!$AY$2:$AY$500,6)</f>
        <v>0</v>
      </c>
      <c r="I40">
        <f>COUNTIF(Export!$AY$2:$AY$500,"NA")</f>
        <v>0</v>
      </c>
      <c r="J40">
        <f>COUNT(Export!$AY$2:$AY$500)</f>
        <v>8</v>
      </c>
      <c r="K40">
        <f>IF(COUNT(Export!$AY$2:$AY$500)=0,"",SMALL(Export!$AY$2:$AY$500,INT((COUNT(Export!$AY$2:$AY$500)+1)/2)))</f>
        <v>3</v>
      </c>
    </row>
    <row r="41" spans="1:11" x14ac:dyDescent="0.45">
      <c r="A41" t="s">
        <v>807</v>
      </c>
      <c r="B41" t="s">
        <v>318</v>
      </c>
      <c r="C41">
        <f>COUNTIF(Export!$AZ$2:$AZ$500,1)</f>
        <v>0</v>
      </c>
      <c r="D41">
        <f>COUNTIF(Export!$AZ$2:$AZ$500,2)</f>
        <v>1</v>
      </c>
      <c r="E41">
        <f>COUNTIF(Export!$AZ$2:$AZ$500,3)</f>
        <v>2</v>
      </c>
      <c r="F41">
        <f>COUNTIF(Export!$AZ$2:$AZ$500,4)</f>
        <v>2</v>
      </c>
      <c r="G41">
        <f>COUNTIF(Export!$AZ$2:$AZ$500,5)</f>
        <v>3</v>
      </c>
      <c r="H41">
        <f>COUNTIF(Export!$AZ$2:$AZ$500,6)</f>
        <v>0</v>
      </c>
      <c r="I41">
        <f>COUNTIF(Export!$AZ$2:$AZ$500,"NA")</f>
        <v>0</v>
      </c>
      <c r="J41">
        <f>COUNT(Export!$AZ$2:$AZ$500)</f>
        <v>8</v>
      </c>
      <c r="K41">
        <f>IF(COUNT(Export!$AZ$2:$AZ$500)=0,"",SMALL(Export!$AZ$2:$AZ$500,INT((COUNT(Export!$AZ$2:$AZ$500)+1)/2)))</f>
        <v>4</v>
      </c>
    </row>
    <row r="42" spans="1:11" x14ac:dyDescent="0.45">
      <c r="A42" t="s">
        <v>807</v>
      </c>
      <c r="B42" t="s">
        <v>380</v>
      </c>
      <c r="C42">
        <f>COUNTIF(Export!$BA$2:$BA$500,1)</f>
        <v>0</v>
      </c>
      <c r="D42">
        <f>COUNTIF(Export!$BA$2:$BA$500,2)</f>
        <v>2</v>
      </c>
      <c r="E42">
        <f>COUNTIF(Export!$BA$2:$BA$500,3)</f>
        <v>1</v>
      </c>
      <c r="F42">
        <f>COUNTIF(Export!$BA$2:$BA$500,4)</f>
        <v>3</v>
      </c>
      <c r="G42">
        <f>COUNTIF(Export!$BA$2:$BA$500,5)</f>
        <v>2</v>
      </c>
      <c r="H42">
        <f>COUNTIF(Export!$BA$2:$BA$500,6)</f>
        <v>0</v>
      </c>
      <c r="I42">
        <f>COUNTIF(Export!$BA$2:$BA$500,"NA")</f>
        <v>0</v>
      </c>
      <c r="J42">
        <f>COUNT(Export!$BA$2:$BA$500)</f>
        <v>8</v>
      </c>
      <c r="K42">
        <f>IF(COUNT(Export!$BA$2:$BA$500)=0,"",SMALL(Export!$BA$2:$BA$500,INT((COUNT(Export!$BA$2:$BA$500)+1)/2)))</f>
        <v>4</v>
      </c>
    </row>
    <row r="43" spans="1:11" x14ac:dyDescent="0.45">
      <c r="A43" t="s">
        <v>808</v>
      </c>
      <c r="B43" t="s">
        <v>265</v>
      </c>
      <c r="C43">
        <f>COUNTIF(Export!$BB$2:$BB$500,1)</f>
        <v>1</v>
      </c>
      <c r="D43">
        <f>COUNTIF(Export!$BB$2:$BB$500,2)</f>
        <v>2</v>
      </c>
      <c r="E43">
        <f>COUNTIF(Export!$BB$2:$BB$500,3)</f>
        <v>2</v>
      </c>
      <c r="F43">
        <f>COUNTIF(Export!$BB$2:$BB$500,4)</f>
        <v>3</v>
      </c>
      <c r="G43">
        <f>COUNTIF(Export!$BB$2:$BB$500,5)</f>
        <v>0</v>
      </c>
      <c r="H43">
        <f>COUNTIF(Export!$BB$2:$BB$500,6)</f>
        <v>0</v>
      </c>
      <c r="I43">
        <f>COUNTIF(Export!$BB$2:$BB$500,"NA")</f>
        <v>0</v>
      </c>
      <c r="J43">
        <f>COUNT(Export!$BB$2:$BB$500)</f>
        <v>8</v>
      </c>
      <c r="K43">
        <f>IF(COUNT(Export!$BB$2:$BB$500)=0,"",SMALL(Export!$BB$2:$BB$500,INT((COUNT(Export!$BB$2:$BB$500)+1)/2)))</f>
        <v>3</v>
      </c>
    </row>
    <row r="44" spans="1:11" x14ac:dyDescent="0.45">
      <c r="A44" t="s">
        <v>808</v>
      </c>
      <c r="B44" t="s">
        <v>318</v>
      </c>
      <c r="C44">
        <f>COUNTIF(Export!$BC$2:$BC$500,1)</f>
        <v>0</v>
      </c>
      <c r="D44">
        <f>COUNTIF(Export!$BC$2:$BC$500,2)</f>
        <v>1</v>
      </c>
      <c r="E44">
        <f>COUNTIF(Export!$BC$2:$BC$500,3)</f>
        <v>3</v>
      </c>
      <c r="F44">
        <f>COUNTIF(Export!$BC$2:$BC$500,4)</f>
        <v>1</v>
      </c>
      <c r="G44">
        <f>COUNTIF(Export!$BC$2:$BC$500,5)</f>
        <v>1</v>
      </c>
      <c r="H44">
        <f>COUNTIF(Export!$BC$2:$BC$500,6)</f>
        <v>2</v>
      </c>
      <c r="I44">
        <f>COUNTIF(Export!$BC$2:$BC$500,"NA")</f>
        <v>0</v>
      </c>
      <c r="J44">
        <f>COUNT(Export!$BC$2:$BC$500)</f>
        <v>8</v>
      </c>
      <c r="K44">
        <f>IF(COUNT(Export!$BC$2:$BC$500)=0,"",SMALL(Export!$BC$2:$BC$500,INT((COUNT(Export!$BC$2:$BC$500)+1)/2)))</f>
        <v>3</v>
      </c>
    </row>
    <row r="45" spans="1:11" x14ac:dyDescent="0.45">
      <c r="A45" t="s">
        <v>808</v>
      </c>
      <c r="B45" t="s">
        <v>380</v>
      </c>
      <c r="C45">
        <f>COUNTIF(Export!$BD$2:$BD$500,1)</f>
        <v>0</v>
      </c>
      <c r="D45">
        <f>COUNTIF(Export!$BD$2:$BD$500,2)</f>
        <v>2</v>
      </c>
      <c r="E45">
        <f>COUNTIF(Export!$BD$2:$BD$500,3)</f>
        <v>2</v>
      </c>
      <c r="F45">
        <f>COUNTIF(Export!$BD$2:$BD$500,4)</f>
        <v>1</v>
      </c>
      <c r="G45">
        <f>COUNTIF(Export!$BD$2:$BD$500,5)</f>
        <v>1</v>
      </c>
      <c r="H45">
        <f>COUNTIF(Export!$BD$2:$BD$500,6)</f>
        <v>2</v>
      </c>
      <c r="I45">
        <f>COUNTIF(Export!$BD$2:$BD$500,"NA")</f>
        <v>0</v>
      </c>
      <c r="J45">
        <f>COUNT(Export!$BD$2:$BD$500)</f>
        <v>8</v>
      </c>
      <c r="K45">
        <f>IF(COUNT(Export!$BD$2:$BD$500)=0,"",SMALL(Export!$BD$2:$BD$500,INT((COUNT(Export!$BD$2:$BD$500)+1)/2)))</f>
        <v>3</v>
      </c>
    </row>
    <row r="46" spans="1:11" x14ac:dyDescent="0.45">
      <c r="A46" t="s">
        <v>809</v>
      </c>
      <c r="B46" t="s">
        <v>265</v>
      </c>
      <c r="C46">
        <f>COUNTIF(Export!$BE$2:$BE$500,1)</f>
        <v>0</v>
      </c>
      <c r="D46">
        <f>COUNTIF(Export!$BE$2:$BE$500,2)</f>
        <v>3</v>
      </c>
      <c r="E46">
        <f>COUNTIF(Export!$BE$2:$BE$500,3)</f>
        <v>3</v>
      </c>
      <c r="F46">
        <f>COUNTIF(Export!$BE$2:$BE$500,4)</f>
        <v>1</v>
      </c>
      <c r="G46">
        <f>COUNTIF(Export!$BE$2:$BE$500,5)</f>
        <v>1</v>
      </c>
      <c r="H46">
        <f>COUNTIF(Export!$BE$2:$BE$500,6)</f>
        <v>0</v>
      </c>
      <c r="I46">
        <f>COUNTIF(Export!$BE$2:$BE$500,"NA")</f>
        <v>0</v>
      </c>
      <c r="J46">
        <f>COUNT(Export!$BE$2:$BE$500)</f>
        <v>8</v>
      </c>
      <c r="K46">
        <f>IF(COUNT(Export!$BE$2:$BE$500)=0,"",SMALL(Export!$BE$2:$BE$500,INT((COUNT(Export!$BE$2:$BE$500)+1)/2)))</f>
        <v>3</v>
      </c>
    </row>
    <row r="47" spans="1:11" x14ac:dyDescent="0.45">
      <c r="A47" t="s">
        <v>809</v>
      </c>
      <c r="B47" t="s">
        <v>318</v>
      </c>
      <c r="C47">
        <f>COUNTIF(Export!$BF$2:$BF$500,1)</f>
        <v>0</v>
      </c>
      <c r="D47">
        <f>COUNTIF(Export!$BF$2:$BF$500,2)</f>
        <v>1</v>
      </c>
      <c r="E47">
        <f>COUNTIF(Export!$BF$2:$BF$500,3)</f>
        <v>3</v>
      </c>
      <c r="F47">
        <f>COUNTIF(Export!$BF$2:$BF$500,4)</f>
        <v>2</v>
      </c>
      <c r="G47">
        <f>COUNTIF(Export!$BF$2:$BF$500,5)</f>
        <v>1</v>
      </c>
      <c r="H47">
        <f>COUNTIF(Export!$BF$2:$BF$500,6)</f>
        <v>1</v>
      </c>
      <c r="I47">
        <f>COUNTIF(Export!$BF$2:$BF$500,"NA")</f>
        <v>0</v>
      </c>
      <c r="J47">
        <f>COUNT(Export!$BF$2:$BF$500)</f>
        <v>8</v>
      </c>
      <c r="K47">
        <f>IF(COUNT(Export!$BF$2:$BF$500)=0,"",SMALL(Export!$BF$2:$BF$500,INT((COUNT(Export!$BF$2:$BF$500)+1)/2)))</f>
        <v>3</v>
      </c>
    </row>
    <row r="48" spans="1:11" x14ac:dyDescent="0.45">
      <c r="A48" t="s">
        <v>809</v>
      </c>
      <c r="B48" t="s">
        <v>380</v>
      </c>
      <c r="C48">
        <f>COUNTIF(Export!$BG$2:$BG$500,1)</f>
        <v>0</v>
      </c>
      <c r="D48">
        <f>COUNTIF(Export!$BG$2:$BG$500,2)</f>
        <v>1</v>
      </c>
      <c r="E48">
        <f>COUNTIF(Export!$BG$2:$BG$500,3)</f>
        <v>1</v>
      </c>
      <c r="F48">
        <f>COUNTIF(Export!$BG$2:$BG$500,4)</f>
        <v>5</v>
      </c>
      <c r="G48">
        <f>COUNTIF(Export!$BG$2:$BG$500,5)</f>
        <v>0</v>
      </c>
      <c r="H48">
        <f>COUNTIF(Export!$BG$2:$BG$500,6)</f>
        <v>1</v>
      </c>
      <c r="I48">
        <f>COUNTIF(Export!$BG$2:$BG$500,"NA")</f>
        <v>0</v>
      </c>
      <c r="J48">
        <f>COUNT(Export!$BG$2:$BG$500)</f>
        <v>8</v>
      </c>
      <c r="K48">
        <f>IF(COUNT(Export!$BG$2:$BG$500)=0,"",SMALL(Export!$BG$2:$BG$500,INT((COUNT(Export!$BG$2:$BG$500)+1)/2)))</f>
        <v>4</v>
      </c>
    </row>
    <row r="49" spans="1:11" x14ac:dyDescent="0.45">
      <c r="A49" t="s">
        <v>810</v>
      </c>
      <c r="B49" t="s">
        <v>265</v>
      </c>
      <c r="C49">
        <f>COUNTIF(Export!$BH$2:$BH$500,1)</f>
        <v>1</v>
      </c>
      <c r="D49">
        <f>COUNTIF(Export!$BH$2:$BH$500,2)</f>
        <v>1</v>
      </c>
      <c r="E49">
        <f>COUNTIF(Export!$BH$2:$BH$500,3)</f>
        <v>4</v>
      </c>
      <c r="F49">
        <f>COUNTIF(Export!$BH$2:$BH$500,4)</f>
        <v>2</v>
      </c>
      <c r="G49">
        <f>COUNTIF(Export!$BH$2:$BH$500,5)</f>
        <v>0</v>
      </c>
      <c r="H49">
        <f>COUNTIF(Export!$BH$2:$BH$500,6)</f>
        <v>0</v>
      </c>
      <c r="I49">
        <f>COUNTIF(Export!$BH$2:$BH$500,"NA")</f>
        <v>0</v>
      </c>
      <c r="J49">
        <f>COUNT(Export!$BH$2:$BH$500)</f>
        <v>8</v>
      </c>
      <c r="K49">
        <f>IF(COUNT(Export!$BH$2:$BH$500)=0,"",SMALL(Export!$BH$2:$BH$500,INT((COUNT(Export!$BH$2:$BH$500)+1)/2)))</f>
        <v>3</v>
      </c>
    </row>
    <row r="50" spans="1:11" x14ac:dyDescent="0.45">
      <c r="A50" t="s">
        <v>810</v>
      </c>
      <c r="B50" t="s">
        <v>318</v>
      </c>
      <c r="C50">
        <f>COUNTIF(Export!$BI$2:$BI$500,1)</f>
        <v>0</v>
      </c>
      <c r="D50">
        <f>COUNTIF(Export!$BI$2:$BI$500,2)</f>
        <v>1</v>
      </c>
      <c r="E50">
        <f>COUNTIF(Export!$BI$2:$BI$500,3)</f>
        <v>3</v>
      </c>
      <c r="F50">
        <f>COUNTIF(Export!$BI$2:$BI$500,4)</f>
        <v>2</v>
      </c>
      <c r="G50">
        <f>COUNTIF(Export!$BI$2:$BI$500,5)</f>
        <v>2</v>
      </c>
      <c r="H50">
        <f>COUNTIF(Export!$BI$2:$BI$500,6)</f>
        <v>0</v>
      </c>
      <c r="I50">
        <f>COUNTIF(Export!$BI$2:$BI$500,"NA")</f>
        <v>0</v>
      </c>
      <c r="J50">
        <f>COUNT(Export!$BI$2:$BI$500)</f>
        <v>8</v>
      </c>
      <c r="K50">
        <f>IF(COUNT(Export!$BI$2:$BI$500)=0,"",SMALL(Export!$BI$2:$BI$500,INT((COUNT(Export!$BI$2:$BI$500)+1)/2)))</f>
        <v>3</v>
      </c>
    </row>
    <row r="51" spans="1:11" x14ac:dyDescent="0.45">
      <c r="A51" t="s">
        <v>810</v>
      </c>
      <c r="B51" t="s">
        <v>380</v>
      </c>
      <c r="C51">
        <f>COUNTIF(Export!$BJ$2:$BJ$500,1)</f>
        <v>0</v>
      </c>
      <c r="D51">
        <f>COUNTIF(Export!$BJ$2:$BJ$500,2)</f>
        <v>1</v>
      </c>
      <c r="E51">
        <f>COUNTIF(Export!$BJ$2:$BJ$500,3)</f>
        <v>1</v>
      </c>
      <c r="F51">
        <f>COUNTIF(Export!$BJ$2:$BJ$500,4)</f>
        <v>4</v>
      </c>
      <c r="G51">
        <f>COUNTIF(Export!$BJ$2:$BJ$500,5)</f>
        <v>2</v>
      </c>
      <c r="H51">
        <f>COUNTIF(Export!$BJ$2:$BJ$500,6)</f>
        <v>0</v>
      </c>
      <c r="I51">
        <f>COUNTIF(Export!$BJ$2:$BJ$500,"NA")</f>
        <v>0</v>
      </c>
      <c r="J51">
        <f>COUNT(Export!$BJ$2:$BJ$500)</f>
        <v>8</v>
      </c>
      <c r="K51">
        <f>IF(COUNT(Export!$BJ$2:$BJ$500)=0,"",SMALL(Export!$BJ$2:$BJ$500,INT((COUNT(Export!$BJ$2:$BJ$500)+1)/2)))</f>
        <v>4</v>
      </c>
    </row>
    <row r="52" spans="1:11" x14ac:dyDescent="0.45">
      <c r="A52" t="s">
        <v>811</v>
      </c>
      <c r="B52" t="s">
        <v>265</v>
      </c>
      <c r="C52">
        <f>COUNTIF(Export!$BK$2:$BK$500,1)</f>
        <v>0</v>
      </c>
      <c r="D52">
        <f>COUNTIF(Export!$BK$2:$BK$500,2)</f>
        <v>2</v>
      </c>
      <c r="E52">
        <f>COUNTIF(Export!$BK$2:$BK$500,3)</f>
        <v>4</v>
      </c>
      <c r="F52">
        <f>COUNTIF(Export!$BK$2:$BK$500,4)</f>
        <v>2</v>
      </c>
      <c r="G52">
        <f>COUNTIF(Export!$BK$2:$BK$500,5)</f>
        <v>0</v>
      </c>
      <c r="H52">
        <f>COUNTIF(Export!$BK$2:$BK$500,6)</f>
        <v>0</v>
      </c>
      <c r="I52">
        <f>COUNTIF(Export!$BK$2:$BK$500,"NA")</f>
        <v>0</v>
      </c>
      <c r="J52">
        <f>COUNT(Export!$BK$2:$BK$500)</f>
        <v>8</v>
      </c>
      <c r="K52">
        <f>IF(COUNT(Export!$BK$2:$BK$500)=0,"",SMALL(Export!$BK$2:$BK$500,INT((COUNT(Export!$BK$2:$BK$500)+1)/2)))</f>
        <v>3</v>
      </c>
    </row>
    <row r="53" spans="1:11" x14ac:dyDescent="0.45">
      <c r="A53" t="s">
        <v>811</v>
      </c>
      <c r="B53" t="s">
        <v>318</v>
      </c>
      <c r="C53">
        <f>COUNTIF(Export!$BL$2:$BL$500,1)</f>
        <v>0</v>
      </c>
      <c r="D53">
        <f>COUNTIF(Export!$BL$2:$BL$500,2)</f>
        <v>1</v>
      </c>
      <c r="E53">
        <f>COUNTIF(Export!$BL$2:$BL$500,3)</f>
        <v>2</v>
      </c>
      <c r="F53">
        <f>COUNTIF(Export!$BL$2:$BL$500,4)</f>
        <v>3</v>
      </c>
      <c r="G53">
        <f>COUNTIF(Export!$BL$2:$BL$500,5)</f>
        <v>2</v>
      </c>
      <c r="H53">
        <f>COUNTIF(Export!$BL$2:$BL$500,6)</f>
        <v>0</v>
      </c>
      <c r="I53">
        <f>COUNTIF(Export!$BL$2:$BL$500,"NA")</f>
        <v>0</v>
      </c>
      <c r="J53">
        <f>COUNT(Export!$BL$2:$BL$500)</f>
        <v>8</v>
      </c>
      <c r="K53">
        <f>IF(COUNT(Export!$BL$2:$BL$500)=0,"",SMALL(Export!$BL$2:$BL$500,INT((COUNT(Export!$BL$2:$BL$500)+1)/2)))</f>
        <v>4</v>
      </c>
    </row>
    <row r="54" spans="1:11" x14ac:dyDescent="0.45">
      <c r="A54" t="s">
        <v>811</v>
      </c>
      <c r="B54" t="s">
        <v>380</v>
      </c>
      <c r="C54">
        <f>COUNTIF(Export!$BM$2:$BM$500,1)</f>
        <v>0</v>
      </c>
      <c r="D54">
        <f>COUNTIF(Export!$BM$2:$BM$500,2)</f>
        <v>1</v>
      </c>
      <c r="E54">
        <f>COUNTIF(Export!$BM$2:$BM$500,3)</f>
        <v>2</v>
      </c>
      <c r="F54">
        <f>COUNTIF(Export!$BM$2:$BM$500,4)</f>
        <v>4</v>
      </c>
      <c r="G54">
        <f>COUNTIF(Export!$BM$2:$BM$500,5)</f>
        <v>1</v>
      </c>
      <c r="H54">
        <f>COUNTIF(Export!$BM$2:$BM$500,6)</f>
        <v>0</v>
      </c>
      <c r="I54">
        <f>COUNTIF(Export!$BM$2:$BM$500,"NA")</f>
        <v>0</v>
      </c>
      <c r="J54">
        <f>COUNT(Export!$BM$2:$BM$500)</f>
        <v>8</v>
      </c>
      <c r="K54">
        <f>IF(COUNT(Export!$BM$2:$BM$500)=0,"",SMALL(Export!$BM$2:$BM$500,INT((COUNT(Export!$BM$2:$BM$500)+1)/2)))</f>
        <v>4</v>
      </c>
    </row>
    <row r="55" spans="1:11" x14ac:dyDescent="0.45">
      <c r="A55" t="s">
        <v>812</v>
      </c>
      <c r="B55" t="s">
        <v>265</v>
      </c>
      <c r="C55">
        <f>COUNTIF(Export!$BN$2:$BN$500,1)</f>
        <v>1</v>
      </c>
      <c r="D55">
        <f>COUNTIF(Export!$BN$2:$BN$500,2)</f>
        <v>0</v>
      </c>
      <c r="E55">
        <f>COUNTIF(Export!$BN$2:$BN$500,3)</f>
        <v>5</v>
      </c>
      <c r="F55">
        <f>COUNTIF(Export!$BN$2:$BN$500,4)</f>
        <v>1</v>
      </c>
      <c r="G55">
        <f>COUNTIF(Export!$BN$2:$BN$500,5)</f>
        <v>1</v>
      </c>
      <c r="H55">
        <f>COUNTIF(Export!$BN$2:$BN$500,6)</f>
        <v>0</v>
      </c>
      <c r="I55">
        <f>COUNTIF(Export!$BN$2:$BN$500,"NA")</f>
        <v>0</v>
      </c>
      <c r="J55">
        <f>COUNT(Export!$BN$2:$BN$500)</f>
        <v>8</v>
      </c>
      <c r="K55">
        <f>IF(COUNT(Export!$BN$2:$BN$500)=0,"",SMALL(Export!$BN$2:$BN$500,INT((COUNT(Export!$BN$2:$BN$500)+1)/2)))</f>
        <v>3</v>
      </c>
    </row>
    <row r="56" spans="1:11" x14ac:dyDescent="0.45">
      <c r="A56" t="s">
        <v>812</v>
      </c>
      <c r="B56" t="s">
        <v>318</v>
      </c>
      <c r="C56">
        <f>COUNTIF(Export!$BO$2:$BO$500,1)</f>
        <v>1</v>
      </c>
      <c r="D56">
        <f>COUNTIF(Export!$BO$2:$BO$500,2)</f>
        <v>0</v>
      </c>
      <c r="E56">
        <f>COUNTIF(Export!$BO$2:$BO$500,3)</f>
        <v>2</v>
      </c>
      <c r="F56">
        <f>COUNTIF(Export!$BO$2:$BO$500,4)</f>
        <v>3</v>
      </c>
      <c r="G56">
        <f>COUNTIF(Export!$BO$2:$BO$500,5)</f>
        <v>1</v>
      </c>
      <c r="H56">
        <f>COUNTIF(Export!$BO$2:$BO$500,6)</f>
        <v>1</v>
      </c>
      <c r="I56">
        <f>COUNTIF(Export!$BO$2:$BO$500,"NA")</f>
        <v>0</v>
      </c>
      <c r="J56">
        <f>COUNT(Export!$BO$2:$BO$500)</f>
        <v>8</v>
      </c>
      <c r="K56">
        <f>IF(COUNT(Export!$BO$2:$BO$500)=0,"",SMALL(Export!$BO$2:$BO$500,INT((COUNT(Export!$BO$2:$BO$500)+1)/2)))</f>
        <v>4</v>
      </c>
    </row>
    <row r="57" spans="1:11" x14ac:dyDescent="0.45">
      <c r="A57" t="s">
        <v>812</v>
      </c>
      <c r="B57" t="s">
        <v>380</v>
      </c>
      <c r="C57">
        <f>COUNTIF(Export!$BP$2:$BP$500,1)</f>
        <v>1</v>
      </c>
      <c r="D57">
        <f>COUNTIF(Export!$BP$2:$BP$500,2)</f>
        <v>0</v>
      </c>
      <c r="E57">
        <f>COUNTIF(Export!$BP$2:$BP$500,3)</f>
        <v>1</v>
      </c>
      <c r="F57">
        <f>COUNTIF(Export!$BP$2:$BP$500,4)</f>
        <v>1</v>
      </c>
      <c r="G57">
        <f>COUNTIF(Export!$BP$2:$BP$500,5)</f>
        <v>4</v>
      </c>
      <c r="H57">
        <f>COUNTIF(Export!$BP$2:$BP$500,6)</f>
        <v>1</v>
      </c>
      <c r="I57">
        <f>COUNTIF(Export!$BP$2:$BP$500,"NA")</f>
        <v>0</v>
      </c>
      <c r="J57">
        <f>COUNT(Export!$BP$2:$BP$500)</f>
        <v>8</v>
      </c>
      <c r="K57">
        <f>IF(COUNT(Export!$BP$2:$BP$500)=0,"",SMALL(Export!$BP$2:$BP$500,INT((COUNT(Export!$BP$2:$BP$500)+1)/2)))</f>
        <v>5</v>
      </c>
    </row>
    <row r="58" spans="1:11" x14ac:dyDescent="0.45">
      <c r="A58" t="s">
        <v>813</v>
      </c>
      <c r="B58" t="s">
        <v>265</v>
      </c>
      <c r="C58">
        <f>COUNTIF(Export!$BQ$2:$BQ$500,1)</f>
        <v>2</v>
      </c>
      <c r="D58">
        <f>COUNTIF(Export!$BQ$2:$BQ$500,2)</f>
        <v>3</v>
      </c>
      <c r="E58">
        <f>COUNTIF(Export!$BQ$2:$BQ$500,3)</f>
        <v>2</v>
      </c>
      <c r="F58">
        <f>COUNTIF(Export!$BQ$2:$BQ$500,4)</f>
        <v>0</v>
      </c>
      <c r="G58">
        <f>COUNTIF(Export!$BQ$2:$BQ$500,5)</f>
        <v>1</v>
      </c>
      <c r="H58">
        <f>COUNTIF(Export!$BQ$2:$BQ$500,6)</f>
        <v>0</v>
      </c>
      <c r="I58">
        <f>COUNTIF(Export!$BQ$2:$BQ$500,"NA")</f>
        <v>0</v>
      </c>
      <c r="J58">
        <f>COUNT(Export!$BQ$2:$BQ$500)</f>
        <v>8</v>
      </c>
      <c r="K58">
        <f>IF(COUNT(Export!$BQ$2:$BQ$500)=0,"",SMALL(Export!$BQ$2:$BQ$500,INT((COUNT(Export!$BQ$2:$BQ$500)+1)/2)))</f>
        <v>2</v>
      </c>
    </row>
    <row r="59" spans="1:11" x14ac:dyDescent="0.45">
      <c r="A59" t="s">
        <v>813</v>
      </c>
      <c r="B59" t="s">
        <v>318</v>
      </c>
      <c r="C59">
        <f>COUNTIF(Export!$BR$2:$BR$500,1)</f>
        <v>1</v>
      </c>
      <c r="D59">
        <f>COUNTIF(Export!$BR$2:$BR$500,2)</f>
        <v>2</v>
      </c>
      <c r="E59">
        <f>COUNTIF(Export!$BR$2:$BR$500,3)</f>
        <v>1</v>
      </c>
      <c r="F59">
        <f>COUNTIF(Export!$BR$2:$BR$500,4)</f>
        <v>3</v>
      </c>
      <c r="G59">
        <f>COUNTIF(Export!$BR$2:$BR$500,5)</f>
        <v>1</v>
      </c>
      <c r="H59">
        <f>COUNTIF(Export!$BR$2:$BR$500,6)</f>
        <v>0</v>
      </c>
      <c r="I59">
        <f>COUNTIF(Export!$BR$2:$BR$500,"NA")</f>
        <v>0</v>
      </c>
      <c r="J59">
        <f>COUNT(Export!$BR$2:$BR$500)</f>
        <v>8</v>
      </c>
      <c r="K59">
        <f>IF(COUNT(Export!$BR$2:$BR$500)=0,"",SMALL(Export!$BR$2:$BR$500,INT((COUNT(Export!$BR$2:$BR$500)+1)/2)))</f>
        <v>3</v>
      </c>
    </row>
    <row r="60" spans="1:11" x14ac:dyDescent="0.45">
      <c r="A60" t="s">
        <v>813</v>
      </c>
      <c r="B60" t="s">
        <v>380</v>
      </c>
      <c r="C60">
        <f>COUNTIF(Export!$BS$2:$BS$500,1)</f>
        <v>1</v>
      </c>
      <c r="D60">
        <f>COUNTIF(Export!$BS$2:$BS$500,2)</f>
        <v>1</v>
      </c>
      <c r="E60">
        <f>COUNTIF(Export!$BS$2:$BS$500,3)</f>
        <v>3</v>
      </c>
      <c r="F60">
        <f>COUNTIF(Export!$BS$2:$BS$500,4)</f>
        <v>1</v>
      </c>
      <c r="G60">
        <f>COUNTIF(Export!$BS$2:$BS$500,5)</f>
        <v>2</v>
      </c>
      <c r="H60">
        <f>COUNTIF(Export!$BS$2:$BS$500,6)</f>
        <v>0</v>
      </c>
      <c r="I60">
        <f>COUNTIF(Export!$BS$2:$BS$500,"NA")</f>
        <v>0</v>
      </c>
      <c r="J60">
        <f>COUNT(Export!$BS$2:$BS$500)</f>
        <v>8</v>
      </c>
      <c r="K60">
        <f>IF(COUNT(Export!$BS$2:$BS$500)=0,"",SMALL(Export!$BS$2:$BS$500,INT((COUNT(Export!$BS$2:$BS$500)+1)/2)))</f>
        <v>3</v>
      </c>
    </row>
    <row r="61" spans="1:11" x14ac:dyDescent="0.45">
      <c r="A61" t="s">
        <v>814</v>
      </c>
      <c r="B61" t="s">
        <v>265</v>
      </c>
      <c r="C61">
        <f>COUNTIF(Export!$BT$2:$BT$500,1)</f>
        <v>0</v>
      </c>
      <c r="D61">
        <f>COUNTIF(Export!$BT$2:$BT$500,2)</f>
        <v>3</v>
      </c>
      <c r="E61">
        <f>COUNTIF(Export!$BT$2:$BT$500,3)</f>
        <v>1</v>
      </c>
      <c r="F61">
        <f>COUNTIF(Export!$BT$2:$BT$500,4)</f>
        <v>1</v>
      </c>
      <c r="G61">
        <f>COUNTIF(Export!$BT$2:$BT$500,5)</f>
        <v>0</v>
      </c>
      <c r="H61">
        <f>COUNTIF(Export!$BT$2:$BT$500,6)</f>
        <v>0</v>
      </c>
      <c r="I61">
        <f>COUNTIF(Export!$BT$2:$BT$500,"NA")</f>
        <v>3</v>
      </c>
      <c r="J61">
        <f>COUNT(Export!$BT$2:$BT$500)</f>
        <v>5</v>
      </c>
      <c r="K61">
        <f>IF(COUNT(Export!$BT$2:$BT$500)=0,"",SMALL(Export!$BT$2:$BT$500,INT((COUNT(Export!$BT$2:$BT$500)+1)/2)))</f>
        <v>2</v>
      </c>
    </row>
    <row r="62" spans="1:11" x14ac:dyDescent="0.45">
      <c r="A62" t="s">
        <v>814</v>
      </c>
      <c r="B62" t="s">
        <v>318</v>
      </c>
      <c r="C62">
        <f>COUNTIF(Export!$BU$2:$BU$500,1)</f>
        <v>0</v>
      </c>
      <c r="D62">
        <f>COUNTIF(Export!$BU$2:$BU$500,2)</f>
        <v>1</v>
      </c>
      <c r="E62">
        <f>COUNTIF(Export!$BU$2:$BU$500,3)</f>
        <v>2</v>
      </c>
      <c r="F62">
        <f>COUNTIF(Export!$BU$2:$BU$500,4)</f>
        <v>2</v>
      </c>
      <c r="G62">
        <f>COUNTIF(Export!$BU$2:$BU$500,5)</f>
        <v>0</v>
      </c>
      <c r="H62">
        <f>COUNTIF(Export!$BU$2:$BU$500,6)</f>
        <v>0</v>
      </c>
      <c r="I62">
        <f>COUNTIF(Export!$BU$2:$BU$500,"NA")</f>
        <v>3</v>
      </c>
      <c r="J62">
        <f>COUNT(Export!$BU$2:$BU$500)</f>
        <v>5</v>
      </c>
      <c r="K62">
        <f>IF(COUNT(Export!$BU$2:$BU$500)=0,"",SMALL(Export!$BU$2:$BU$500,INT((COUNT(Export!$BU$2:$BU$500)+1)/2)))</f>
        <v>3</v>
      </c>
    </row>
    <row r="63" spans="1:11" x14ac:dyDescent="0.45">
      <c r="A63" t="s">
        <v>814</v>
      </c>
      <c r="B63" t="s">
        <v>380</v>
      </c>
      <c r="C63">
        <f>COUNTIF(Export!$BV$2:$BV$500,1)</f>
        <v>0</v>
      </c>
      <c r="D63">
        <f>COUNTIF(Export!$BV$2:$BV$500,2)</f>
        <v>1</v>
      </c>
      <c r="E63">
        <f>COUNTIF(Export!$BV$2:$BV$500,3)</f>
        <v>2</v>
      </c>
      <c r="F63">
        <f>COUNTIF(Export!$BV$2:$BV$500,4)</f>
        <v>2</v>
      </c>
      <c r="G63">
        <f>COUNTIF(Export!$BV$2:$BV$500,5)</f>
        <v>0</v>
      </c>
      <c r="H63">
        <f>COUNTIF(Export!$BV$2:$BV$500,6)</f>
        <v>0</v>
      </c>
      <c r="I63">
        <f>COUNTIF(Export!$BV$2:$BV$500,"NA")</f>
        <v>3</v>
      </c>
      <c r="J63">
        <f>COUNT(Export!$BV$2:$BV$500)</f>
        <v>5</v>
      </c>
      <c r="K63">
        <f>IF(COUNT(Export!$BV$2:$BV$500)=0,"",SMALL(Export!$BV$2:$BV$500,INT((COUNT(Export!$BV$2:$BV$500)+1)/2)))</f>
        <v>3</v>
      </c>
    </row>
    <row r="64" spans="1:11" x14ac:dyDescent="0.45">
      <c r="A64" t="s">
        <v>815</v>
      </c>
      <c r="B64" t="s">
        <v>265</v>
      </c>
      <c r="C64">
        <f>COUNTIF(Export!$BW$2:$BW$500,1)</f>
        <v>0</v>
      </c>
      <c r="D64">
        <f>COUNTIF(Export!$BW$2:$BW$500,2)</f>
        <v>1</v>
      </c>
      <c r="E64">
        <f>COUNTIF(Export!$BW$2:$BW$500,3)</f>
        <v>2</v>
      </c>
      <c r="F64">
        <f>COUNTIF(Export!$BW$2:$BW$500,4)</f>
        <v>0</v>
      </c>
      <c r="G64">
        <f>COUNTIF(Export!$BW$2:$BW$500,5)</f>
        <v>1</v>
      </c>
      <c r="H64">
        <f>COUNTIF(Export!$BW$2:$BW$500,6)</f>
        <v>0</v>
      </c>
      <c r="I64">
        <f>COUNTIF(Export!$BW$2:$BW$500,"NA")</f>
        <v>4</v>
      </c>
      <c r="J64">
        <f>COUNT(Export!$BW$2:$BW$500)</f>
        <v>4</v>
      </c>
      <c r="K64">
        <f>IF(COUNT(Export!$BW$2:$BW$500)=0,"",SMALL(Export!$BW$2:$BW$500,INT((COUNT(Export!$BW$2:$BW$500)+1)/2)))</f>
        <v>3</v>
      </c>
    </row>
    <row r="65" spans="1:11" x14ac:dyDescent="0.45">
      <c r="A65" t="s">
        <v>815</v>
      </c>
      <c r="B65" t="s">
        <v>318</v>
      </c>
      <c r="C65">
        <f>COUNTIF(Export!$BX$2:$BX$500,1)</f>
        <v>0</v>
      </c>
      <c r="D65">
        <f>COUNTIF(Export!$BX$2:$BX$500,2)</f>
        <v>0</v>
      </c>
      <c r="E65">
        <f>COUNTIF(Export!$BX$2:$BX$500,3)</f>
        <v>1</v>
      </c>
      <c r="F65">
        <f>COUNTIF(Export!$BX$2:$BX$500,4)</f>
        <v>2</v>
      </c>
      <c r="G65">
        <f>COUNTIF(Export!$BX$2:$BX$500,5)</f>
        <v>1</v>
      </c>
      <c r="H65">
        <f>COUNTIF(Export!$BX$2:$BX$500,6)</f>
        <v>0</v>
      </c>
      <c r="I65">
        <f>COUNTIF(Export!$BX$2:$BX$500,"NA")</f>
        <v>4</v>
      </c>
      <c r="J65">
        <f>COUNT(Export!$BX$2:$BX$500)</f>
        <v>4</v>
      </c>
      <c r="K65">
        <f>IF(COUNT(Export!$BX$2:$BX$500)=0,"",SMALL(Export!$BX$2:$BX$500,INT((COUNT(Export!$BX$2:$BX$500)+1)/2)))</f>
        <v>4</v>
      </c>
    </row>
    <row r="66" spans="1:11" x14ac:dyDescent="0.45">
      <c r="A66" t="s">
        <v>815</v>
      </c>
      <c r="B66" t="s">
        <v>380</v>
      </c>
      <c r="C66">
        <f>COUNTIF(Export!$BY$2:$BY$500,1)</f>
        <v>0</v>
      </c>
      <c r="D66">
        <f>COUNTIF(Export!$BY$2:$BY$500,2)</f>
        <v>0</v>
      </c>
      <c r="E66">
        <f>COUNTIF(Export!$BY$2:$BY$500,3)</f>
        <v>1</v>
      </c>
      <c r="F66">
        <f>COUNTIF(Export!$BY$2:$BY$500,4)</f>
        <v>3</v>
      </c>
      <c r="G66">
        <f>COUNTIF(Export!$BY$2:$BY$500,5)</f>
        <v>0</v>
      </c>
      <c r="H66">
        <f>COUNTIF(Export!$BY$2:$BY$500,6)</f>
        <v>0</v>
      </c>
      <c r="I66">
        <f>COUNTIF(Export!$BY$2:$BY$500,"NA")</f>
        <v>4</v>
      </c>
      <c r="J66">
        <f>COUNT(Export!$BY$2:$BY$500)</f>
        <v>4</v>
      </c>
      <c r="K66">
        <f>IF(COUNT(Export!$BY$2:$BY$500)=0,"",SMALL(Export!$BY$2:$BY$500,INT((COUNT(Export!$BY$2:$BY$500)+1)/2)))</f>
        <v>4</v>
      </c>
    </row>
    <row r="67" spans="1:11" x14ac:dyDescent="0.45">
      <c r="A67" t="s">
        <v>816</v>
      </c>
      <c r="B67" t="s">
        <v>265</v>
      </c>
      <c r="C67">
        <f>COUNTIF(Export!$BZ$2:$BZ$500,1)</f>
        <v>1</v>
      </c>
      <c r="D67">
        <f>COUNTIF(Export!$BZ$2:$BZ$500,2)</f>
        <v>3</v>
      </c>
      <c r="E67">
        <f>COUNTIF(Export!$BZ$2:$BZ$500,3)</f>
        <v>2</v>
      </c>
      <c r="F67">
        <f>COUNTIF(Export!$BZ$2:$BZ$500,4)</f>
        <v>0</v>
      </c>
      <c r="G67">
        <f>COUNTIF(Export!$BZ$2:$BZ$500,5)</f>
        <v>0</v>
      </c>
      <c r="H67">
        <f>COUNTIF(Export!$BZ$2:$BZ$500,6)</f>
        <v>1</v>
      </c>
      <c r="I67">
        <f>COUNTIF(Export!$BZ$2:$BZ$500,"NA")</f>
        <v>1</v>
      </c>
      <c r="J67">
        <f>COUNT(Export!$BZ$2:$BZ$500)</f>
        <v>7</v>
      </c>
      <c r="K67">
        <f>IF(COUNT(Export!$BZ$2:$BZ$500)=0,"",SMALL(Export!$BZ$2:$BZ$500,INT((COUNT(Export!$BZ$2:$BZ$500)+1)/2)))</f>
        <v>2</v>
      </c>
    </row>
    <row r="68" spans="1:11" x14ac:dyDescent="0.45">
      <c r="A68" t="s">
        <v>816</v>
      </c>
      <c r="B68" t="s">
        <v>318</v>
      </c>
      <c r="C68">
        <f>COUNTIF(Export!$CA$2:$CA$500,1)</f>
        <v>0</v>
      </c>
      <c r="D68">
        <f>COUNTIF(Export!$CA$2:$CA$500,2)</f>
        <v>2</v>
      </c>
      <c r="E68">
        <f>COUNTIF(Export!$CA$2:$CA$500,3)</f>
        <v>2</v>
      </c>
      <c r="F68">
        <f>COUNTIF(Export!$CA$2:$CA$500,4)</f>
        <v>2</v>
      </c>
      <c r="G68">
        <f>COUNTIF(Export!$CA$2:$CA$500,5)</f>
        <v>0</v>
      </c>
      <c r="H68">
        <f>COUNTIF(Export!$CA$2:$CA$500,6)</f>
        <v>1</v>
      </c>
      <c r="I68">
        <f>COUNTIF(Export!$CA$2:$CA$500,"NA")</f>
        <v>1</v>
      </c>
      <c r="J68">
        <f>COUNT(Export!$CA$2:$CA$500)</f>
        <v>7</v>
      </c>
      <c r="K68">
        <f>IF(COUNT(Export!$CA$2:$CA$500)=0,"",SMALL(Export!$CA$2:$CA$500,INT((COUNT(Export!$CA$2:$CA$500)+1)/2)))</f>
        <v>3</v>
      </c>
    </row>
    <row r="69" spans="1:11" x14ac:dyDescent="0.45">
      <c r="A69" t="s">
        <v>816</v>
      </c>
      <c r="B69" t="s">
        <v>380</v>
      </c>
      <c r="C69">
        <f>COUNTIF(Export!$CB$2:$CB$500,1)</f>
        <v>0</v>
      </c>
      <c r="D69">
        <f>COUNTIF(Export!$CB$2:$CB$500,2)</f>
        <v>2</v>
      </c>
      <c r="E69">
        <f>COUNTIF(Export!$CB$2:$CB$500,3)</f>
        <v>2</v>
      </c>
      <c r="F69">
        <f>COUNTIF(Export!$CB$2:$CB$500,4)</f>
        <v>2</v>
      </c>
      <c r="G69">
        <f>COUNTIF(Export!$CB$2:$CB$500,5)</f>
        <v>1</v>
      </c>
      <c r="H69">
        <f>COUNTIF(Export!$CB$2:$CB$500,6)</f>
        <v>0</v>
      </c>
      <c r="I69">
        <f>COUNTIF(Export!$CB$2:$CB$500,"NA")</f>
        <v>1</v>
      </c>
      <c r="J69">
        <f>COUNT(Export!$CB$2:$CB$500)</f>
        <v>7</v>
      </c>
      <c r="K69">
        <f>IF(COUNT(Export!$CB$2:$CB$500)=0,"",SMALL(Export!$CB$2:$CB$500,INT((COUNT(Export!$CB$2:$CB$500)+1)/2)))</f>
        <v>3</v>
      </c>
    </row>
    <row r="70" spans="1:11" x14ac:dyDescent="0.45">
      <c r="A70" t="s">
        <v>817</v>
      </c>
      <c r="B70" t="s">
        <v>265</v>
      </c>
      <c r="C70">
        <f>COUNTIF(Export!$CC$2:$CC$500,1)</f>
        <v>1</v>
      </c>
      <c r="D70">
        <f>COUNTIF(Export!$CC$2:$CC$500,2)</f>
        <v>2</v>
      </c>
      <c r="E70">
        <f>COUNTIF(Export!$CC$2:$CC$500,3)</f>
        <v>2</v>
      </c>
      <c r="F70">
        <f>COUNTIF(Export!$CC$2:$CC$500,4)</f>
        <v>2</v>
      </c>
      <c r="G70">
        <f>COUNTIF(Export!$CC$2:$CC$500,5)</f>
        <v>0</v>
      </c>
      <c r="H70">
        <f>COUNTIF(Export!$CC$2:$CC$500,6)</f>
        <v>0</v>
      </c>
      <c r="I70">
        <f>COUNTIF(Export!$CC$2:$CC$500,"NA")</f>
        <v>1</v>
      </c>
      <c r="J70">
        <f>COUNT(Export!$CC$2:$CC$500)</f>
        <v>7</v>
      </c>
      <c r="K70">
        <f>IF(COUNT(Export!$CC$2:$CC$500)=0,"",SMALL(Export!$CC$2:$CC$500,INT((COUNT(Export!$CC$2:$CC$500)+1)/2)))</f>
        <v>3</v>
      </c>
    </row>
    <row r="71" spans="1:11" x14ac:dyDescent="0.45">
      <c r="A71" t="s">
        <v>817</v>
      </c>
      <c r="B71" t="s">
        <v>318</v>
      </c>
      <c r="C71">
        <f>COUNTIF(Export!$CD$2:$CD$500,1)</f>
        <v>0</v>
      </c>
      <c r="D71">
        <f>COUNTIF(Export!$CD$2:$CD$500,2)</f>
        <v>1</v>
      </c>
      <c r="E71">
        <f>COUNTIF(Export!$CD$2:$CD$500,3)</f>
        <v>3</v>
      </c>
      <c r="F71">
        <f>COUNTIF(Export!$CD$2:$CD$500,4)</f>
        <v>2</v>
      </c>
      <c r="G71">
        <f>COUNTIF(Export!$CD$2:$CD$500,5)</f>
        <v>0</v>
      </c>
      <c r="H71">
        <f>COUNTIF(Export!$CD$2:$CD$500,6)</f>
        <v>1</v>
      </c>
      <c r="I71">
        <f>COUNTIF(Export!$CD$2:$CD$500,"NA")</f>
        <v>1</v>
      </c>
      <c r="J71">
        <f>COUNT(Export!$CD$2:$CD$500)</f>
        <v>7</v>
      </c>
      <c r="K71">
        <f>IF(COUNT(Export!$CD$2:$CD$500)=0,"",SMALL(Export!$CD$2:$CD$500,INT((COUNT(Export!$CD$2:$CD$500)+1)/2)))</f>
        <v>3</v>
      </c>
    </row>
    <row r="72" spans="1:11" x14ac:dyDescent="0.45">
      <c r="A72" t="s">
        <v>817</v>
      </c>
      <c r="B72" t="s">
        <v>380</v>
      </c>
      <c r="C72">
        <f>COUNTIF(Export!$CE$2:$CE$500,1)</f>
        <v>1</v>
      </c>
      <c r="D72">
        <f>COUNTIF(Export!$CE$2:$CE$500,2)</f>
        <v>0</v>
      </c>
      <c r="E72">
        <f>COUNTIF(Export!$CE$2:$CE$500,3)</f>
        <v>2</v>
      </c>
      <c r="F72">
        <f>COUNTIF(Export!$CE$2:$CE$500,4)</f>
        <v>3</v>
      </c>
      <c r="G72">
        <f>COUNTIF(Export!$CE$2:$CE$500,5)</f>
        <v>1</v>
      </c>
      <c r="H72">
        <f>COUNTIF(Export!$CE$2:$CE$500,6)</f>
        <v>0</v>
      </c>
      <c r="I72">
        <f>COUNTIF(Export!$CE$2:$CE$500,"NA")</f>
        <v>1</v>
      </c>
      <c r="J72">
        <f>COUNT(Export!$CE$2:$CE$500)</f>
        <v>7</v>
      </c>
      <c r="K72">
        <f>IF(COUNT(Export!$CE$2:$CE$500)=0,"",SMALL(Export!$CE$2:$CE$500,INT((COUNT(Export!$CE$2:$CE$500)+1)/2)))</f>
        <v>4</v>
      </c>
    </row>
    <row r="73" spans="1:11" x14ac:dyDescent="0.45">
      <c r="A73" t="s">
        <v>818</v>
      </c>
      <c r="B73" t="s">
        <v>265</v>
      </c>
      <c r="C73">
        <f>COUNTIF(Export!$CF$2:$CF$500,1)</f>
        <v>0</v>
      </c>
      <c r="D73">
        <f>COUNTIF(Export!$CF$2:$CF$500,2)</f>
        <v>1</v>
      </c>
      <c r="E73">
        <f>COUNTIF(Export!$CF$2:$CF$500,3)</f>
        <v>2</v>
      </c>
      <c r="F73">
        <f>COUNTIF(Export!$CF$2:$CF$500,4)</f>
        <v>2</v>
      </c>
      <c r="G73">
        <f>COUNTIF(Export!$CF$2:$CF$500,5)</f>
        <v>0</v>
      </c>
      <c r="H73">
        <f>COUNTIF(Export!$CF$2:$CF$500,6)</f>
        <v>0</v>
      </c>
      <c r="I73">
        <f>COUNTIF(Export!$CF$2:$CF$500,"NA")</f>
        <v>3</v>
      </c>
      <c r="J73">
        <f>COUNT(Export!$CF$2:$CF$500)</f>
        <v>5</v>
      </c>
      <c r="K73">
        <f>IF(COUNT(Export!$CF$2:$CF$500)=0,"",SMALL(Export!$CF$2:$CF$500,INT((COUNT(Export!$CF$2:$CF$500)+1)/2)))</f>
        <v>3</v>
      </c>
    </row>
    <row r="74" spans="1:11" x14ac:dyDescent="0.45">
      <c r="A74" t="s">
        <v>818</v>
      </c>
      <c r="B74" t="s">
        <v>318</v>
      </c>
      <c r="C74">
        <f>COUNTIF(Export!$CG$2:$CG$500,1)</f>
        <v>0</v>
      </c>
      <c r="D74">
        <f>COUNTIF(Export!$CG$2:$CG$500,2)</f>
        <v>1</v>
      </c>
      <c r="E74">
        <f>COUNTIF(Export!$CG$2:$CG$500,3)</f>
        <v>1</v>
      </c>
      <c r="F74">
        <f>COUNTIF(Export!$CG$2:$CG$500,4)</f>
        <v>1</v>
      </c>
      <c r="G74">
        <f>COUNTIF(Export!$CG$2:$CG$500,5)</f>
        <v>3</v>
      </c>
      <c r="H74">
        <f>COUNTIF(Export!$CG$2:$CG$500,6)</f>
        <v>0</v>
      </c>
      <c r="I74">
        <f>COUNTIF(Export!$CG$2:$CG$500,"NA")</f>
        <v>2</v>
      </c>
      <c r="J74">
        <f>COUNT(Export!$CG$2:$CG$500)</f>
        <v>6</v>
      </c>
      <c r="K74">
        <f>IF(COUNT(Export!$CG$2:$CG$500)=0,"",SMALL(Export!$CG$2:$CG$500,INT((COUNT(Export!$CG$2:$CG$500)+1)/2)))</f>
        <v>4</v>
      </c>
    </row>
    <row r="75" spans="1:11" x14ac:dyDescent="0.45">
      <c r="A75" t="s">
        <v>818</v>
      </c>
      <c r="B75" t="s">
        <v>380</v>
      </c>
      <c r="C75">
        <f>COUNTIF(Export!$CH$2:$CH$500,1)</f>
        <v>0</v>
      </c>
      <c r="D75">
        <f>COUNTIF(Export!$CH$2:$CH$500,2)</f>
        <v>0</v>
      </c>
      <c r="E75">
        <f>COUNTIF(Export!$CH$2:$CH$500,3)</f>
        <v>3</v>
      </c>
      <c r="F75">
        <f>COUNTIF(Export!$CH$2:$CH$500,4)</f>
        <v>1</v>
      </c>
      <c r="G75">
        <f>COUNTIF(Export!$CH$2:$CH$500,5)</f>
        <v>2</v>
      </c>
      <c r="H75">
        <f>COUNTIF(Export!$CH$2:$CH$500,6)</f>
        <v>0</v>
      </c>
      <c r="I75">
        <f>COUNTIF(Export!$CH$2:$CH$500,"NA")</f>
        <v>2</v>
      </c>
      <c r="J75">
        <f>COUNT(Export!$CH$2:$CH$500)</f>
        <v>6</v>
      </c>
      <c r="K75">
        <f>IF(COUNT(Export!$CH$2:$CH$500)=0,"",SMALL(Export!$CH$2:$CH$500,INT((COUNT(Export!$CH$2:$CH$500)+1)/2)))</f>
        <v>3</v>
      </c>
    </row>
    <row r="76" spans="1:11" x14ac:dyDescent="0.45">
      <c r="A76" t="s">
        <v>819</v>
      </c>
      <c r="B76" t="s">
        <v>265</v>
      </c>
      <c r="C76">
        <f>COUNTIF(Export!$CI$2:$CI$500,1)</f>
        <v>1</v>
      </c>
      <c r="D76">
        <f>COUNTIF(Export!$CI$2:$CI$500,2)</f>
        <v>3</v>
      </c>
      <c r="E76">
        <f>COUNTIF(Export!$CI$2:$CI$500,3)</f>
        <v>4</v>
      </c>
      <c r="F76">
        <f>COUNTIF(Export!$CI$2:$CI$500,4)</f>
        <v>0</v>
      </c>
      <c r="G76">
        <f>COUNTIF(Export!$CI$2:$CI$500,5)</f>
        <v>0</v>
      </c>
      <c r="H76">
        <f>COUNTIF(Export!$CI$2:$CI$500,6)</f>
        <v>0</v>
      </c>
      <c r="I76">
        <f>COUNTIF(Export!$CI$2:$CI$500,"NA")</f>
        <v>0</v>
      </c>
      <c r="J76">
        <f>COUNT(Export!$CI$2:$CI$500)</f>
        <v>8</v>
      </c>
      <c r="K76">
        <f>IF(COUNT(Export!$CI$2:$CI$500)=0,"",SMALL(Export!$CI$2:$CI$500,INT((COUNT(Export!$CI$2:$CI$500)+1)/2)))</f>
        <v>2</v>
      </c>
    </row>
    <row r="77" spans="1:11" x14ac:dyDescent="0.45">
      <c r="A77" t="s">
        <v>819</v>
      </c>
      <c r="B77" t="s">
        <v>318</v>
      </c>
      <c r="C77">
        <f>COUNTIF(Export!$CJ$2:$CJ$500,1)</f>
        <v>0</v>
      </c>
      <c r="D77">
        <f>COUNTIF(Export!$CJ$2:$CJ$500,2)</f>
        <v>2</v>
      </c>
      <c r="E77">
        <f>COUNTIF(Export!$CJ$2:$CJ$500,3)</f>
        <v>2</v>
      </c>
      <c r="F77">
        <f>COUNTIF(Export!$CJ$2:$CJ$500,4)</f>
        <v>4</v>
      </c>
      <c r="G77">
        <f>COUNTIF(Export!$CJ$2:$CJ$500,5)</f>
        <v>0</v>
      </c>
      <c r="H77">
        <f>COUNTIF(Export!$CJ$2:$CJ$500,6)</f>
        <v>0</v>
      </c>
      <c r="I77">
        <f>COUNTIF(Export!$CJ$2:$CJ$500,"NA")</f>
        <v>0</v>
      </c>
      <c r="J77">
        <f>COUNT(Export!$CJ$2:$CJ$500)</f>
        <v>8</v>
      </c>
      <c r="K77">
        <f>IF(COUNT(Export!$CJ$2:$CJ$500)=0,"",SMALL(Export!$CJ$2:$CJ$500,INT((COUNT(Export!$CJ$2:$CJ$500)+1)/2)))</f>
        <v>3</v>
      </c>
    </row>
    <row r="78" spans="1:11" x14ac:dyDescent="0.45">
      <c r="A78" t="s">
        <v>819</v>
      </c>
      <c r="B78" t="s">
        <v>380</v>
      </c>
      <c r="C78">
        <f>COUNTIF(Export!$CK$2:$CK$500,1)</f>
        <v>0</v>
      </c>
      <c r="D78">
        <f>COUNTIF(Export!$CK$2:$CK$500,2)</f>
        <v>1</v>
      </c>
      <c r="E78">
        <f>COUNTIF(Export!$CK$2:$CK$500,3)</f>
        <v>4</v>
      </c>
      <c r="F78">
        <f>COUNTIF(Export!$CK$2:$CK$500,4)</f>
        <v>3</v>
      </c>
      <c r="G78">
        <f>COUNTIF(Export!$CK$2:$CK$500,5)</f>
        <v>0</v>
      </c>
      <c r="H78">
        <f>COUNTIF(Export!$CK$2:$CK$500,6)</f>
        <v>0</v>
      </c>
      <c r="I78">
        <f>COUNTIF(Export!$CK$2:$CK$500,"NA")</f>
        <v>0</v>
      </c>
      <c r="J78">
        <f>COUNT(Export!$CK$2:$CK$500)</f>
        <v>8</v>
      </c>
      <c r="K78">
        <f>IF(COUNT(Export!$CK$2:$CK$500)=0,"",SMALL(Export!$CK$2:$CK$500,INT((COUNT(Export!$CK$2:$CK$500)+1)/2)))</f>
        <v>3</v>
      </c>
    </row>
    <row r="79" spans="1:11" x14ac:dyDescent="0.45">
      <c r="A79" t="s">
        <v>820</v>
      </c>
      <c r="B79" t="s">
        <v>265</v>
      </c>
      <c r="C79">
        <f>COUNTIF(Export!$CL$2:$CL$500,1)</f>
        <v>0</v>
      </c>
      <c r="D79">
        <f>COUNTIF(Export!$CL$2:$CL$500,2)</f>
        <v>1</v>
      </c>
      <c r="E79">
        <f>COUNTIF(Export!$CL$2:$CL$500,3)</f>
        <v>4</v>
      </c>
      <c r="F79">
        <f>COUNTIF(Export!$CL$2:$CL$500,4)</f>
        <v>1</v>
      </c>
      <c r="G79">
        <f>COUNTIF(Export!$CL$2:$CL$500,5)</f>
        <v>2</v>
      </c>
      <c r="H79">
        <f>COUNTIF(Export!$CL$2:$CL$500,6)</f>
        <v>0</v>
      </c>
      <c r="I79">
        <f>COUNTIF(Export!$CL$2:$CL$500,"NA")</f>
        <v>0</v>
      </c>
      <c r="J79">
        <f>COUNT(Export!$CL$2:$CL$500)</f>
        <v>8</v>
      </c>
      <c r="K79">
        <f>IF(COUNT(Export!$CL$2:$CL$500)=0,"",SMALL(Export!$CL$2:$CL$500,INT((COUNT(Export!$CL$2:$CL$500)+1)/2)))</f>
        <v>3</v>
      </c>
    </row>
    <row r="80" spans="1:11" x14ac:dyDescent="0.45">
      <c r="A80" t="s">
        <v>820</v>
      </c>
      <c r="B80" t="s">
        <v>318</v>
      </c>
      <c r="C80">
        <f>COUNTIF(Export!$CM$2:$CM$500,1)</f>
        <v>0</v>
      </c>
      <c r="D80">
        <f>COUNTIF(Export!$CM$2:$CM$500,2)</f>
        <v>1</v>
      </c>
      <c r="E80">
        <f>COUNTIF(Export!$CM$2:$CM$500,3)</f>
        <v>2</v>
      </c>
      <c r="F80">
        <f>COUNTIF(Export!$CM$2:$CM$500,4)</f>
        <v>1</v>
      </c>
      <c r="G80">
        <f>COUNTIF(Export!$CM$2:$CM$500,5)</f>
        <v>2</v>
      </c>
      <c r="H80">
        <f>COUNTIF(Export!$CM$2:$CM$500,6)</f>
        <v>2</v>
      </c>
      <c r="I80">
        <f>COUNTIF(Export!$CM$2:$CM$500,"NA")</f>
        <v>0</v>
      </c>
      <c r="J80">
        <f>COUNT(Export!$CM$2:$CM$500)</f>
        <v>8</v>
      </c>
      <c r="K80">
        <f>IF(COUNT(Export!$CM$2:$CM$500)=0,"",SMALL(Export!$CM$2:$CM$500,INT((COUNT(Export!$CM$2:$CM$500)+1)/2)))</f>
        <v>4</v>
      </c>
    </row>
    <row r="81" spans="1:11" x14ac:dyDescent="0.45">
      <c r="A81" t="s">
        <v>820</v>
      </c>
      <c r="B81" t="s">
        <v>380</v>
      </c>
      <c r="C81">
        <f>COUNTIF(Export!$CN$2:$CN$500,1)</f>
        <v>0</v>
      </c>
      <c r="D81">
        <f>COUNTIF(Export!$CN$2:$CN$500,2)</f>
        <v>0</v>
      </c>
      <c r="E81">
        <f>COUNTIF(Export!$CN$2:$CN$500,3)</f>
        <v>2</v>
      </c>
      <c r="F81">
        <f>COUNTIF(Export!$CN$2:$CN$500,4)</f>
        <v>2</v>
      </c>
      <c r="G81">
        <f>COUNTIF(Export!$CN$2:$CN$500,5)</f>
        <v>3</v>
      </c>
      <c r="H81">
        <f>COUNTIF(Export!$CN$2:$CN$500,6)</f>
        <v>1</v>
      </c>
      <c r="I81">
        <f>COUNTIF(Export!$CN$2:$CN$500,"NA")</f>
        <v>0</v>
      </c>
      <c r="J81">
        <f>COUNT(Export!$CN$2:$CN$500)</f>
        <v>8</v>
      </c>
      <c r="K81">
        <f>IF(COUNT(Export!$CN$2:$CN$500)=0,"",SMALL(Export!$CN$2:$CN$500,INT((COUNT(Export!$CN$2:$CN$500)+1)/2)))</f>
        <v>4</v>
      </c>
    </row>
    <row r="82" spans="1:11" x14ac:dyDescent="0.45">
      <c r="A82" t="s">
        <v>821</v>
      </c>
      <c r="B82" t="s">
        <v>265</v>
      </c>
      <c r="C82">
        <f>COUNTIF(Export!$CO$2:$CO$500,1)</f>
        <v>0</v>
      </c>
      <c r="D82">
        <f>COUNTIF(Export!$CO$2:$CO$500,2)</f>
        <v>1</v>
      </c>
      <c r="E82">
        <f>COUNTIF(Export!$CO$2:$CO$500,3)</f>
        <v>5</v>
      </c>
      <c r="F82">
        <f>COUNTIF(Export!$CO$2:$CO$500,4)</f>
        <v>1</v>
      </c>
      <c r="G82">
        <f>COUNTIF(Export!$CO$2:$CO$500,5)</f>
        <v>1</v>
      </c>
      <c r="H82">
        <f>COUNTIF(Export!$CO$2:$CO$500,6)</f>
        <v>0</v>
      </c>
      <c r="I82">
        <f>COUNTIF(Export!$CO$2:$CO$500,"NA")</f>
        <v>0</v>
      </c>
      <c r="J82">
        <f>COUNT(Export!$CO$2:$CO$500)</f>
        <v>8</v>
      </c>
      <c r="K82">
        <f>IF(COUNT(Export!$CO$2:$CO$500)=0,"",SMALL(Export!$CO$2:$CO$500,INT((COUNT(Export!$CO$2:$CO$500)+1)/2)))</f>
        <v>3</v>
      </c>
    </row>
    <row r="83" spans="1:11" x14ac:dyDescent="0.45">
      <c r="A83" t="s">
        <v>821</v>
      </c>
      <c r="B83" t="s">
        <v>318</v>
      </c>
      <c r="C83">
        <f>COUNTIF(Export!$CP$2:$CP$500,1)</f>
        <v>0</v>
      </c>
      <c r="D83">
        <f>COUNTIF(Export!$CP$2:$CP$500,2)</f>
        <v>0</v>
      </c>
      <c r="E83">
        <f>COUNTIF(Export!$CP$2:$CP$500,3)</f>
        <v>2</v>
      </c>
      <c r="F83">
        <f>COUNTIF(Export!$CP$2:$CP$500,4)</f>
        <v>4</v>
      </c>
      <c r="G83">
        <f>COUNTIF(Export!$CP$2:$CP$500,5)</f>
        <v>1</v>
      </c>
      <c r="H83">
        <f>COUNTIF(Export!$CP$2:$CP$500,6)</f>
        <v>1</v>
      </c>
      <c r="I83">
        <f>COUNTIF(Export!$CP$2:$CP$500,"NA")</f>
        <v>0</v>
      </c>
      <c r="J83">
        <f>COUNT(Export!$CP$2:$CP$500)</f>
        <v>8</v>
      </c>
      <c r="K83">
        <f>IF(COUNT(Export!$CP$2:$CP$500)=0,"",SMALL(Export!$CP$2:$CP$500,INT((COUNT(Export!$CP$2:$CP$500)+1)/2)))</f>
        <v>4</v>
      </c>
    </row>
    <row r="84" spans="1:11" x14ac:dyDescent="0.45">
      <c r="A84" t="s">
        <v>821</v>
      </c>
      <c r="B84" t="s">
        <v>380</v>
      </c>
      <c r="C84">
        <f>COUNTIF(Export!$CQ$2:$CQ$500,1)</f>
        <v>0</v>
      </c>
      <c r="D84">
        <f>COUNTIF(Export!$CQ$2:$CQ$500,2)</f>
        <v>1</v>
      </c>
      <c r="E84">
        <f>COUNTIF(Export!$CQ$2:$CQ$500,3)</f>
        <v>1</v>
      </c>
      <c r="F84">
        <f>COUNTIF(Export!$CQ$2:$CQ$500,4)</f>
        <v>5</v>
      </c>
      <c r="G84">
        <f>COUNTIF(Export!$CQ$2:$CQ$500,5)</f>
        <v>0</v>
      </c>
      <c r="H84">
        <f>COUNTIF(Export!$CQ$2:$CQ$500,6)</f>
        <v>1</v>
      </c>
      <c r="I84">
        <f>COUNTIF(Export!$CQ$2:$CQ$500,"NA")</f>
        <v>0</v>
      </c>
      <c r="J84">
        <f>COUNT(Export!$CQ$2:$CQ$500)</f>
        <v>8</v>
      </c>
      <c r="K84">
        <f>IF(COUNT(Export!$CQ$2:$CQ$500)=0,"",SMALL(Export!$CQ$2:$CQ$500,INT((COUNT(Export!$CQ$2:$CQ$500)+1)/2)))</f>
        <v>4</v>
      </c>
    </row>
    <row r="85" spans="1:11" x14ac:dyDescent="0.45">
      <c r="A85" t="s">
        <v>822</v>
      </c>
      <c r="B85" t="s">
        <v>265</v>
      </c>
      <c r="C85">
        <f>COUNTIF(Export!$CR$2:$CR$500,1)</f>
        <v>0</v>
      </c>
      <c r="D85">
        <f>COUNTIF(Export!$CR$2:$CR$500,2)</f>
        <v>2</v>
      </c>
      <c r="E85">
        <f>COUNTIF(Export!$CR$2:$CR$500,3)</f>
        <v>4</v>
      </c>
      <c r="F85">
        <f>COUNTIF(Export!$CR$2:$CR$500,4)</f>
        <v>1</v>
      </c>
      <c r="G85">
        <f>COUNTIF(Export!$CR$2:$CR$500,5)</f>
        <v>1</v>
      </c>
      <c r="H85">
        <f>COUNTIF(Export!$CR$2:$CR$500,6)</f>
        <v>0</v>
      </c>
      <c r="I85">
        <f>COUNTIF(Export!$CR$2:$CR$500,"NA")</f>
        <v>0</v>
      </c>
      <c r="J85">
        <f>COUNT(Export!$CR$2:$CR$500)</f>
        <v>8</v>
      </c>
      <c r="K85">
        <f>IF(COUNT(Export!$CR$2:$CR$500)=0,"",SMALL(Export!$CR$2:$CR$500,INT((COUNT(Export!$CR$2:$CR$500)+1)/2)))</f>
        <v>3</v>
      </c>
    </row>
    <row r="86" spans="1:11" x14ac:dyDescent="0.45">
      <c r="A86" t="s">
        <v>822</v>
      </c>
      <c r="B86" t="s">
        <v>318</v>
      </c>
      <c r="C86">
        <f>COUNTIF(Export!$CS$2:$CS$500,1)</f>
        <v>0</v>
      </c>
      <c r="D86">
        <f>COUNTIF(Export!$CS$2:$CS$500,2)</f>
        <v>0</v>
      </c>
      <c r="E86">
        <f>COUNTIF(Export!$CS$2:$CS$500,3)</f>
        <v>4</v>
      </c>
      <c r="F86">
        <f>COUNTIF(Export!$CS$2:$CS$500,4)</f>
        <v>2</v>
      </c>
      <c r="G86">
        <f>COUNTIF(Export!$CS$2:$CS$500,5)</f>
        <v>1</v>
      </c>
      <c r="H86">
        <f>COUNTIF(Export!$CS$2:$CS$500,6)</f>
        <v>1</v>
      </c>
      <c r="I86">
        <f>COUNTIF(Export!$CS$2:$CS$500,"NA")</f>
        <v>0</v>
      </c>
      <c r="J86">
        <f>COUNT(Export!$CS$2:$CS$500)</f>
        <v>8</v>
      </c>
      <c r="K86">
        <f>IF(COUNT(Export!$CS$2:$CS$500)=0,"",SMALL(Export!$CS$2:$CS$500,INT((COUNT(Export!$CS$2:$CS$500)+1)/2)))</f>
        <v>3</v>
      </c>
    </row>
    <row r="87" spans="1:11" x14ac:dyDescent="0.45">
      <c r="A87" t="s">
        <v>822</v>
      </c>
      <c r="B87" t="s">
        <v>380</v>
      </c>
      <c r="C87">
        <f>COUNTIF(Export!$CT$2:$CT$500,1)</f>
        <v>0</v>
      </c>
      <c r="D87">
        <f>COUNTIF(Export!$CT$2:$CT$500,2)</f>
        <v>0</v>
      </c>
      <c r="E87">
        <f>COUNTIF(Export!$CT$2:$CT$500,3)</f>
        <v>3</v>
      </c>
      <c r="F87">
        <f>COUNTIF(Export!$CT$2:$CT$500,4)</f>
        <v>3</v>
      </c>
      <c r="G87">
        <f>COUNTIF(Export!$CT$2:$CT$500,5)</f>
        <v>1</v>
      </c>
      <c r="H87">
        <f>COUNTIF(Export!$CT$2:$CT$500,6)</f>
        <v>1</v>
      </c>
      <c r="I87">
        <f>COUNTIF(Export!$CT$2:$CT$500,"NA")</f>
        <v>0</v>
      </c>
      <c r="J87">
        <f>COUNT(Export!$CT$2:$CT$500)</f>
        <v>8</v>
      </c>
      <c r="K87">
        <f>IF(COUNT(Export!$CT$2:$CT$500)=0,"",SMALL(Export!$CT$2:$CT$500,INT((COUNT(Export!$CT$2:$CT$500)+1)/2)))</f>
        <v>4</v>
      </c>
    </row>
    <row r="88" spans="1:11" x14ac:dyDescent="0.45">
      <c r="A88" t="s">
        <v>823</v>
      </c>
      <c r="B88" t="s">
        <v>265</v>
      </c>
      <c r="C88">
        <f>COUNTIF(Export!$CU$2:$CU$500,1)</f>
        <v>0</v>
      </c>
      <c r="D88">
        <f>COUNTIF(Export!$CU$2:$CU$500,2)</f>
        <v>2</v>
      </c>
      <c r="E88">
        <f>COUNTIF(Export!$CU$2:$CU$500,3)</f>
        <v>4</v>
      </c>
      <c r="F88">
        <f>COUNTIF(Export!$CU$2:$CU$500,4)</f>
        <v>1</v>
      </c>
      <c r="G88">
        <f>COUNTIF(Export!$CU$2:$CU$500,5)</f>
        <v>1</v>
      </c>
      <c r="H88">
        <f>COUNTIF(Export!$CU$2:$CU$500,6)</f>
        <v>0</v>
      </c>
      <c r="I88">
        <f>COUNTIF(Export!$CU$2:$CU$500,"NA")</f>
        <v>0</v>
      </c>
      <c r="J88">
        <f>COUNT(Export!$CU$2:$CU$500)</f>
        <v>8</v>
      </c>
      <c r="K88">
        <f>IF(COUNT(Export!$CU$2:$CU$500)=0,"",SMALL(Export!$CU$2:$CU$500,INT((COUNT(Export!$CU$2:$CU$500)+1)/2)))</f>
        <v>3</v>
      </c>
    </row>
    <row r="89" spans="1:11" x14ac:dyDescent="0.45">
      <c r="A89" t="s">
        <v>823</v>
      </c>
      <c r="B89" t="s">
        <v>318</v>
      </c>
      <c r="C89">
        <f>COUNTIF(Export!$CV$2:$CV$500,1)</f>
        <v>0</v>
      </c>
      <c r="D89">
        <f>COUNTIF(Export!$CV$2:$CV$500,2)</f>
        <v>2</v>
      </c>
      <c r="E89">
        <f>COUNTIF(Export!$CV$2:$CV$500,3)</f>
        <v>0</v>
      </c>
      <c r="F89">
        <f>COUNTIF(Export!$CV$2:$CV$500,4)</f>
        <v>2</v>
      </c>
      <c r="G89">
        <f>COUNTIF(Export!$CV$2:$CV$500,5)</f>
        <v>2</v>
      </c>
      <c r="H89">
        <f>COUNTIF(Export!$CV$2:$CV$500,6)</f>
        <v>1</v>
      </c>
      <c r="I89">
        <f>COUNTIF(Export!$CV$2:$CV$500,"NA")</f>
        <v>1</v>
      </c>
      <c r="J89">
        <f>COUNT(Export!$CV$2:$CV$500)</f>
        <v>7</v>
      </c>
      <c r="K89">
        <f>IF(COUNT(Export!$CV$2:$CV$500)=0,"",SMALL(Export!$CV$2:$CV$500,INT((COUNT(Export!$CV$2:$CV$500)+1)/2)))</f>
        <v>4</v>
      </c>
    </row>
    <row r="90" spans="1:11" x14ac:dyDescent="0.45">
      <c r="A90" t="s">
        <v>823</v>
      </c>
      <c r="B90" t="s">
        <v>380</v>
      </c>
      <c r="C90">
        <f>COUNTIF(Export!$CW$2:$CW$500,1)</f>
        <v>0</v>
      </c>
      <c r="D90">
        <f>COUNTIF(Export!$CW$2:$CW$500,2)</f>
        <v>0</v>
      </c>
      <c r="E90">
        <f>COUNTIF(Export!$CW$2:$CW$500,3)</f>
        <v>2</v>
      </c>
      <c r="F90">
        <f>COUNTIF(Export!$CW$2:$CW$500,4)</f>
        <v>3</v>
      </c>
      <c r="G90">
        <f>COUNTIF(Export!$CW$2:$CW$500,5)</f>
        <v>1</v>
      </c>
      <c r="H90">
        <f>COUNTIF(Export!$CW$2:$CW$500,6)</f>
        <v>1</v>
      </c>
      <c r="I90">
        <f>COUNTIF(Export!$CW$2:$CW$500,"NA")</f>
        <v>1</v>
      </c>
      <c r="J90">
        <f>COUNT(Export!$CW$2:$CW$500)</f>
        <v>7</v>
      </c>
      <c r="K90">
        <f>IF(COUNT(Export!$CW$2:$CW$500)=0,"",SMALL(Export!$CW$2:$CW$500,INT((COUNT(Export!$CW$2:$CW$500)+1)/2)))</f>
        <v>4</v>
      </c>
    </row>
    <row r="92" spans="1:11" x14ac:dyDescent="0.45">
      <c r="A92" t="s">
        <v>796</v>
      </c>
      <c r="B92" t="s">
        <v>824</v>
      </c>
      <c r="C92" t="s">
        <v>825</v>
      </c>
      <c r="D92" t="s">
        <v>826</v>
      </c>
      <c r="E92" t="s">
        <v>825</v>
      </c>
    </row>
    <row r="93" spans="1:11" x14ac:dyDescent="0.45">
      <c r="A93" t="s">
        <v>805</v>
      </c>
      <c r="B93">
        <f>IF(COUNT(Export!$CX$2:$CX$500)=0,"",SMALL(Export!$CX$2:$CX$500,INT((COUNT(Export!$CX$2:$CX$500)+1)/2)))</f>
        <v>1</v>
      </c>
      <c r="C93">
        <f>COUNT(Export!$CX$2:$CX$500)</f>
        <v>7</v>
      </c>
      <c r="D93">
        <f>IF(COUNT(Export!$CY$2:$CY$500)=0,"",SMALL(Export!$CY$2:$CY$500,INT((COUNT(Export!$CY$2:$CY$500)+1)/2)))</f>
        <v>0</v>
      </c>
      <c r="E93">
        <f>COUNT(Export!$CY$2:$CY$500)</f>
        <v>7</v>
      </c>
    </row>
    <row r="94" spans="1:11" x14ac:dyDescent="0.45">
      <c r="A94" t="s">
        <v>806</v>
      </c>
      <c r="B94">
        <f>IF(COUNT(Export!$CZ$2:$CZ$500)=0,"",SMALL(Export!$CZ$2:$CZ$500,INT((COUNT(Export!$CZ$2:$CZ$500)+1)/2)))</f>
        <v>1</v>
      </c>
      <c r="C94">
        <f>COUNT(Export!$CZ$2:$CZ$500)</f>
        <v>8</v>
      </c>
      <c r="D94">
        <f>IF(COUNT(Export!$DA$2:$DA$500)=0,"",SMALL(Export!$DA$2:$DA$500,INT((COUNT(Export!$DA$2:$DA$500)+1)/2)))</f>
        <v>0</v>
      </c>
      <c r="E94">
        <f>COUNT(Export!$DA$2:$DA$500)</f>
        <v>8</v>
      </c>
    </row>
    <row r="95" spans="1:11" x14ac:dyDescent="0.45">
      <c r="A95" t="s">
        <v>807</v>
      </c>
      <c r="B95">
        <f>IF(COUNT(Export!$DB$2:$DB$500)=0,"",SMALL(Export!$DB$2:$DB$500,INT((COUNT(Export!$DB$2:$DB$500)+1)/2)))</f>
        <v>1</v>
      </c>
      <c r="C95">
        <f>COUNT(Export!$DB$2:$DB$500)</f>
        <v>8</v>
      </c>
      <c r="D95">
        <f>IF(COUNT(Export!$DC$2:$DC$500)=0,"",SMALL(Export!$DC$2:$DC$500,INT((COUNT(Export!$DC$2:$DC$500)+1)/2)))</f>
        <v>0</v>
      </c>
      <c r="E95">
        <f>COUNT(Export!$DC$2:$DC$500)</f>
        <v>8</v>
      </c>
    </row>
    <row r="96" spans="1:11" x14ac:dyDescent="0.45">
      <c r="A96" t="s">
        <v>808</v>
      </c>
      <c r="B96">
        <f>IF(COUNT(Export!$DD$2:$DD$500)=0,"",SMALL(Export!$DD$2:$DD$500,INT((COUNT(Export!$DD$2:$DD$500)+1)/2)))</f>
        <v>1</v>
      </c>
      <c r="C96">
        <f>COUNT(Export!$DD$2:$DD$500)</f>
        <v>8</v>
      </c>
      <c r="D96">
        <f>IF(COUNT(Export!$DE$2:$DE$500)=0,"",SMALL(Export!$DE$2:$DE$500,INT((COUNT(Export!$DE$2:$DE$500)+1)/2)))</f>
        <v>0</v>
      </c>
      <c r="E96">
        <f>COUNT(Export!$DE$2:$DE$500)</f>
        <v>8</v>
      </c>
    </row>
    <row r="97" spans="1:5" x14ac:dyDescent="0.45">
      <c r="A97" t="s">
        <v>809</v>
      </c>
      <c r="B97">
        <f>IF(COUNT(Export!$DF$2:$DF$500)=0,"",SMALL(Export!$DF$2:$DF$500,INT((COUNT(Export!$DF$2:$DF$500)+1)/2)))</f>
        <v>1</v>
      </c>
      <c r="C97">
        <f>COUNT(Export!$DF$2:$DF$500)</f>
        <v>8</v>
      </c>
      <c r="D97">
        <f>IF(COUNT(Export!$DG$2:$DG$500)=0,"",SMALL(Export!$DG$2:$DG$500,INT((COUNT(Export!$DG$2:$DG$500)+1)/2)))</f>
        <v>0</v>
      </c>
      <c r="E97">
        <f>COUNT(Export!$DG$2:$DG$500)</f>
        <v>8</v>
      </c>
    </row>
    <row r="98" spans="1:5" x14ac:dyDescent="0.45">
      <c r="A98" t="s">
        <v>810</v>
      </c>
      <c r="B98">
        <f>IF(COUNT(Export!$DH$2:$DH$500)=0,"",SMALL(Export!$DH$2:$DH$500,INT((COUNT(Export!$DH$2:$DH$500)+1)/2)))</f>
        <v>1</v>
      </c>
      <c r="C98">
        <f>COUNT(Export!$DH$2:$DH$500)</f>
        <v>8</v>
      </c>
      <c r="D98">
        <f>IF(COUNT(Export!$DI$2:$DI$500)=0,"",SMALL(Export!$DI$2:$DI$500,INT((COUNT(Export!$DI$2:$DI$500)+1)/2)))</f>
        <v>0</v>
      </c>
      <c r="E98">
        <f>COUNT(Export!$DI$2:$DI$500)</f>
        <v>8</v>
      </c>
    </row>
    <row r="99" spans="1:5" x14ac:dyDescent="0.45">
      <c r="A99" t="s">
        <v>811</v>
      </c>
      <c r="B99">
        <f>IF(COUNT(Export!$DJ$2:$DJ$500)=0,"",SMALL(Export!$DJ$2:$DJ$500,INT((COUNT(Export!$DJ$2:$DJ$500)+1)/2)))</f>
        <v>1</v>
      </c>
      <c r="C99">
        <f>COUNT(Export!$DJ$2:$DJ$500)</f>
        <v>8</v>
      </c>
      <c r="D99">
        <f>IF(COUNT(Export!$DK$2:$DK$500)=0,"",SMALL(Export!$DK$2:$DK$500,INT((COUNT(Export!$DK$2:$DK$500)+1)/2)))</f>
        <v>0</v>
      </c>
      <c r="E99">
        <f>COUNT(Export!$DK$2:$DK$500)</f>
        <v>8</v>
      </c>
    </row>
    <row r="100" spans="1:5" x14ac:dyDescent="0.45">
      <c r="A100" t="s">
        <v>812</v>
      </c>
      <c r="B100">
        <f>IF(COUNT(Export!$DL$2:$DL$500)=0,"",SMALL(Export!$DL$2:$DL$500,INT((COUNT(Export!$DL$2:$DL$500)+1)/2)))</f>
        <v>1</v>
      </c>
      <c r="C100">
        <f>COUNT(Export!$DL$2:$DL$500)</f>
        <v>8</v>
      </c>
      <c r="D100">
        <f>IF(COUNT(Export!$DM$2:$DM$500)=0,"",SMALL(Export!$DM$2:$DM$500,INT((COUNT(Export!$DM$2:$DM$500)+1)/2)))</f>
        <v>0</v>
      </c>
      <c r="E100">
        <f>COUNT(Export!$DM$2:$DM$500)</f>
        <v>8</v>
      </c>
    </row>
    <row r="101" spans="1:5" x14ac:dyDescent="0.45">
      <c r="A101" t="s">
        <v>813</v>
      </c>
      <c r="B101">
        <f>IF(COUNT(Export!$DN$2:$DN$500)=0,"",SMALL(Export!$DN$2:$DN$500,INT((COUNT(Export!$DN$2:$DN$500)+1)/2)))</f>
        <v>1</v>
      </c>
      <c r="C101">
        <f>COUNT(Export!$DN$2:$DN$500)</f>
        <v>8</v>
      </c>
      <c r="D101">
        <f>IF(COUNT(Export!$DO$2:$DO$500)=0,"",SMALL(Export!$DO$2:$DO$500,INT((COUNT(Export!$DO$2:$DO$500)+1)/2)))</f>
        <v>0</v>
      </c>
      <c r="E101">
        <f>COUNT(Export!$DO$2:$DO$500)</f>
        <v>8</v>
      </c>
    </row>
    <row r="102" spans="1:5" x14ac:dyDescent="0.45">
      <c r="A102" t="s">
        <v>814</v>
      </c>
      <c r="B102">
        <f>IF(COUNT(Export!$DP$2:$DP$500)=0,"",SMALL(Export!$DP$2:$DP$500,INT((COUNT(Export!$DP$2:$DP$500)+1)/2)))</f>
        <v>1</v>
      </c>
      <c r="C102">
        <f>COUNT(Export!$DP$2:$DP$500)</f>
        <v>5</v>
      </c>
      <c r="D102">
        <f>IF(COUNT(Export!$DQ$2:$DQ$500)=0,"",SMALL(Export!$DQ$2:$DQ$500,INT((COUNT(Export!$DQ$2:$DQ$500)+1)/2)))</f>
        <v>0</v>
      </c>
      <c r="E102">
        <f>COUNT(Export!$DQ$2:$DQ$500)</f>
        <v>5</v>
      </c>
    </row>
    <row r="103" spans="1:5" x14ac:dyDescent="0.45">
      <c r="A103" t="s">
        <v>815</v>
      </c>
      <c r="B103">
        <f>IF(COUNT(Export!$DR$2:$DR$500)=0,"",SMALL(Export!$DR$2:$DR$500,INT((COUNT(Export!$DR$2:$DR$500)+1)/2)))</f>
        <v>1</v>
      </c>
      <c r="C103">
        <f>COUNT(Export!$DR$2:$DR$500)</f>
        <v>4</v>
      </c>
      <c r="D103">
        <f>IF(COUNT(Export!$DS$2:$DS$500)=0,"",SMALL(Export!$DS$2:$DS$500,INT((COUNT(Export!$DS$2:$DS$500)+1)/2)))</f>
        <v>0</v>
      </c>
      <c r="E103">
        <f>COUNT(Export!$DS$2:$DS$500)</f>
        <v>4</v>
      </c>
    </row>
    <row r="104" spans="1:5" x14ac:dyDescent="0.45">
      <c r="A104" t="s">
        <v>816</v>
      </c>
      <c r="B104">
        <f>IF(COUNT(Export!$DT$2:$DT$500)=0,"",SMALL(Export!$DT$2:$DT$500,INT((COUNT(Export!$DT$2:$DT$500)+1)/2)))</f>
        <v>1</v>
      </c>
      <c r="C104">
        <f>COUNT(Export!$DT$2:$DT$500)</f>
        <v>7</v>
      </c>
      <c r="D104">
        <f>IF(COUNT(Export!$DU$2:$DU$500)=0,"",SMALL(Export!$DU$2:$DU$500,INT((COUNT(Export!$DU$2:$DU$500)+1)/2)))</f>
        <v>0</v>
      </c>
      <c r="E104">
        <f>COUNT(Export!$DU$2:$DU$500)</f>
        <v>7</v>
      </c>
    </row>
    <row r="105" spans="1:5" x14ac:dyDescent="0.45">
      <c r="A105" t="s">
        <v>817</v>
      </c>
      <c r="B105">
        <f>IF(COUNT(Export!$DV$2:$DV$500)=0,"",SMALL(Export!$DV$2:$DV$500,INT((COUNT(Export!$DV$2:$DV$500)+1)/2)))</f>
        <v>1</v>
      </c>
      <c r="C105">
        <f>COUNT(Export!$DV$2:$DV$500)</f>
        <v>7</v>
      </c>
      <c r="D105">
        <f>IF(COUNT(Export!$DW$2:$DW$500)=0,"",SMALL(Export!$DW$2:$DW$500,INT((COUNT(Export!$DW$2:$DW$500)+1)/2)))</f>
        <v>0</v>
      </c>
      <c r="E105">
        <f>COUNT(Export!$DW$2:$DW$500)</f>
        <v>7</v>
      </c>
    </row>
    <row r="106" spans="1:5" x14ac:dyDescent="0.45">
      <c r="A106" t="s">
        <v>818</v>
      </c>
      <c r="B106">
        <f>IF(COUNT(Export!$DX$2:$DX$500)=0,"",SMALL(Export!$DX$2:$DX$500,INT((COUNT(Export!$DX$2:$DX$500)+1)/2)))</f>
        <v>1</v>
      </c>
      <c r="C106">
        <f>COUNT(Export!$DX$2:$DX$500)</f>
        <v>5</v>
      </c>
      <c r="D106">
        <f>IF(COUNT(Export!$DY$2:$DY$500)=0,"",SMALL(Export!$DY$2:$DY$500,INT((COUNT(Export!$DY$2:$DY$500)+1)/2)))</f>
        <v>0</v>
      </c>
      <c r="E106">
        <f>COUNT(Export!$DY$2:$DY$500)</f>
        <v>6</v>
      </c>
    </row>
    <row r="107" spans="1:5" x14ac:dyDescent="0.45">
      <c r="A107" t="s">
        <v>819</v>
      </c>
      <c r="B107">
        <f>IF(COUNT(Export!$DZ$2:$DZ$500)=0,"",SMALL(Export!$DZ$2:$DZ$500,INT((COUNT(Export!$DZ$2:$DZ$500)+1)/2)))</f>
        <v>1</v>
      </c>
      <c r="C107">
        <f>COUNT(Export!$DZ$2:$DZ$500)</f>
        <v>8</v>
      </c>
      <c r="D107">
        <f>IF(COUNT(Export!$EA$2:$EA$500)=0,"",SMALL(Export!$EA$2:$EA$500,INT((COUNT(Export!$EA$2:$EA$500)+1)/2)))</f>
        <v>0</v>
      </c>
      <c r="E107">
        <f>COUNT(Export!$EA$2:$EA$500)</f>
        <v>8</v>
      </c>
    </row>
    <row r="108" spans="1:5" x14ac:dyDescent="0.45">
      <c r="A108" t="s">
        <v>820</v>
      </c>
      <c r="B108">
        <f>IF(COUNT(Export!$EB$2:$EB$500)=0,"",SMALL(Export!$EB$2:$EB$500,INT((COUNT(Export!$EB$2:$EB$500)+1)/2)))</f>
        <v>1</v>
      </c>
      <c r="C108">
        <f>COUNT(Export!$EB$2:$EB$500)</f>
        <v>8</v>
      </c>
      <c r="D108">
        <f>IF(COUNT(Export!$EC$2:$EC$500)=0,"",SMALL(Export!$EC$2:$EC$500,INT((COUNT(Export!$EC$2:$EC$500)+1)/2)))</f>
        <v>0</v>
      </c>
      <c r="E108">
        <f>COUNT(Export!$EC$2:$EC$500)</f>
        <v>8</v>
      </c>
    </row>
    <row r="109" spans="1:5" x14ac:dyDescent="0.45">
      <c r="A109" t="s">
        <v>821</v>
      </c>
      <c r="B109">
        <f>IF(COUNT(Export!$ED$2:$ED$500)=0,"",SMALL(Export!$ED$2:$ED$500,INT((COUNT(Export!$ED$2:$ED$500)+1)/2)))</f>
        <v>1</v>
      </c>
      <c r="C109">
        <f>COUNT(Export!$ED$2:$ED$500)</f>
        <v>8</v>
      </c>
      <c r="D109">
        <f>IF(COUNT(Export!$EE$2:$EE$500)=0,"",SMALL(Export!$EE$2:$EE$500,INT((COUNT(Export!$EE$2:$EE$500)+1)/2)))</f>
        <v>0</v>
      </c>
      <c r="E109">
        <f>COUNT(Export!$EE$2:$EE$500)</f>
        <v>8</v>
      </c>
    </row>
    <row r="110" spans="1:5" x14ac:dyDescent="0.45">
      <c r="A110" t="s">
        <v>822</v>
      </c>
      <c r="B110">
        <f>IF(COUNT(Export!$EF$2:$EF$500)=0,"",SMALL(Export!$EF$2:$EF$500,INT((COUNT(Export!$EF$2:$EF$500)+1)/2)))</f>
        <v>1</v>
      </c>
      <c r="C110">
        <f>COUNT(Export!$EF$2:$EF$500)</f>
        <v>8</v>
      </c>
      <c r="D110">
        <f>IF(COUNT(Export!$EG$2:$EG$500)=0,"",SMALL(Export!$EG$2:$EG$500,INT((COUNT(Export!$EG$2:$EG$500)+1)/2)))</f>
        <v>0</v>
      </c>
      <c r="E110">
        <f>COUNT(Export!$EG$2:$EG$500)</f>
        <v>8</v>
      </c>
    </row>
    <row r="111" spans="1:5" x14ac:dyDescent="0.45">
      <c r="A111" t="s">
        <v>823</v>
      </c>
      <c r="B111">
        <f>IF(COUNT(Export!$EH$2:$EH$500)=0,"",SMALL(Export!$EH$2:$EH$500,INT((COUNT(Export!$EH$2:$EH$500)+1)/2)))</f>
        <v>1</v>
      </c>
      <c r="C111">
        <f>COUNT(Export!$EH$2:$EH$500)</f>
        <v>7</v>
      </c>
      <c r="D111">
        <f>IF(COUNT(Export!$EI$2:$EI$500)=0,"",SMALL(Export!$EI$2:$EI$500,INT((COUNT(Export!$EI$2:$EI$500)+1)/2)))</f>
        <v>0</v>
      </c>
      <c r="E111">
        <f>COUNT(Export!$EI$2:$EI$500)</f>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5</vt:i4>
      </vt:variant>
    </vt:vector>
  </HeadingPairs>
  <TitlesOfParts>
    <vt:vector size="13" baseType="lpstr">
      <vt:lpstr>ReadMe</vt:lpstr>
      <vt:lpstr>Config</vt:lpstr>
      <vt:lpstr>Responses</vt:lpstr>
      <vt:lpstr>Items</vt:lpstr>
      <vt:lpstr>Values</vt:lpstr>
      <vt:lpstr>Pattern</vt:lpstr>
      <vt:lpstr>Export</vt:lpstr>
      <vt:lpstr>Team</vt:lpstr>
      <vt:lpstr>flat_modal_share</vt:lpstr>
      <vt:lpstr>flat_reverse_slack</vt:lpstr>
      <vt:lpstr>roster_n</vt:lpstr>
      <vt:lpstr>schema_version</vt:lpstr>
      <vt:lpstr>stance_identical_min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andrew godlewsky</cp:lastModifiedBy>
  <dcterms:modified xsi:type="dcterms:W3CDTF">2026-08-26T18:08:06Z</dcterms:modified>
</cp:coreProperties>
</file>